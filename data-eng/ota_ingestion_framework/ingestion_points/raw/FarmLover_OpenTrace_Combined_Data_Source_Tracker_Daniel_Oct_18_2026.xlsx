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atae\Desktop\"/>
    </mc:Choice>
  </mc:AlternateContent>
  <xr:revisionPtr revIDLastSave="0" documentId="13_ncr:20001_{F29EAC65-F5FD-450C-9F55-B1939A42AC33}" xr6:coauthVersionLast="47" xr6:coauthVersionMax="47" xr10:uidLastSave="{00000000-0000-0000-0000-000000000000}"/>
  <bookViews>
    <workbookView xWindow="-110" yWindow="-110" windowWidth="25820" windowHeight="13900" tabRatio="500" firstSheet="3" activeTab="4" xr2:uid="{00000000-000D-0000-FFFF-FFFF00000000}"/>
  </bookViews>
  <sheets>
    <sheet name="Guide" sheetId="1" r:id="rId1"/>
    <sheet name="Pricing Tracker" sheetId="2" r:id="rId2"/>
    <sheet name="Summary" sheetId="3" r:id="rId3"/>
    <sheet name="Lists" sheetId="4" r:id="rId4"/>
    <sheet name="Start Here - Daniel" sheetId="5" r:id="rId5"/>
    <sheet name="Farm Lover Team Source Register" sheetId="6" r:id="rId6"/>
    <sheet name="Partner Workstreams" sheetId="7" r:id="rId7"/>
    <sheet name="Ingestion Backlog" sheetId="8" r:id="rId8"/>
    <sheet name="Research Evidence Log" sheetId="9" r:id="rId9"/>
  </sheets>
  <definedNames>
    <definedName name="_xlnm._FilterDatabase" localSheetId="5" hidden="1">'Farm Lover Team Source Register'!$A$1:$L$24</definedName>
    <definedName name="_xlnm._FilterDatabase" localSheetId="7" hidden="1">'Ingestion Backlog'!$A$1:$G$12</definedName>
    <definedName name="_xlnm._FilterDatabase" localSheetId="6" hidden="1">'Partner Workstreams'!$A$1:$H$6</definedName>
    <definedName name="_xlnm._FilterDatabase" localSheetId="1" hidden="1">'Pricing Tracker'!$A$4:$T$274</definedName>
    <definedName name="_xlnm._FilterDatabase" localSheetId="8" hidden="1">'Research Evidence Log'!$A$1:$G$6</definedName>
    <definedName name="_xlnm._FilterDatabase" localSheetId="4" hidden="1">'Start Here - Daniel'!$A$1:$B$9</definedName>
  </definedNames>
  <calcPr calcId="191029" iterateDelta="1E-4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8" i="3" l="1"/>
  <c r="H68" i="3"/>
  <c r="F68" i="3"/>
  <c r="G68" i="3" s="1"/>
  <c r="E68" i="3"/>
  <c r="D68" i="3"/>
  <c r="C68" i="3"/>
  <c r="I67" i="3"/>
  <c r="H67" i="3"/>
  <c r="F67" i="3"/>
  <c r="G67" i="3" s="1"/>
  <c r="E67" i="3"/>
  <c r="D67" i="3"/>
  <c r="C67" i="3"/>
  <c r="I66" i="3"/>
  <c r="H66" i="3"/>
  <c r="F66" i="3"/>
  <c r="G66" i="3" s="1"/>
  <c r="E66" i="3"/>
  <c r="D66" i="3"/>
  <c r="C66" i="3"/>
  <c r="I65" i="3"/>
  <c r="H65" i="3"/>
  <c r="F65" i="3"/>
  <c r="G65" i="3" s="1"/>
  <c r="E65" i="3"/>
  <c r="D65" i="3"/>
  <c r="C65" i="3"/>
  <c r="I64" i="3"/>
  <c r="H64" i="3"/>
  <c r="F64" i="3"/>
  <c r="G64" i="3" s="1"/>
  <c r="E64" i="3"/>
  <c r="D64" i="3"/>
  <c r="C64" i="3"/>
  <c r="I63" i="3"/>
  <c r="H63" i="3"/>
  <c r="F63" i="3"/>
  <c r="G63" i="3" s="1"/>
  <c r="E63" i="3"/>
  <c r="D63" i="3"/>
  <c r="C63" i="3"/>
  <c r="I62" i="3"/>
  <c r="H62" i="3"/>
  <c r="F62" i="3"/>
  <c r="G62" i="3" s="1"/>
  <c r="E62" i="3"/>
  <c r="D62" i="3"/>
  <c r="C62" i="3"/>
  <c r="I61" i="3"/>
  <c r="H61" i="3"/>
  <c r="F61" i="3"/>
  <c r="G61" i="3" s="1"/>
  <c r="E61" i="3"/>
  <c r="D61" i="3"/>
  <c r="C61" i="3"/>
  <c r="I60" i="3"/>
  <c r="H60" i="3"/>
  <c r="F60" i="3"/>
  <c r="G60" i="3" s="1"/>
  <c r="E60" i="3"/>
  <c r="D60" i="3"/>
  <c r="C60" i="3"/>
  <c r="I59" i="3"/>
  <c r="H59" i="3"/>
  <c r="F59" i="3"/>
  <c r="G59" i="3" s="1"/>
  <c r="E59" i="3"/>
  <c r="D59" i="3"/>
  <c r="C59" i="3"/>
  <c r="I58" i="3"/>
  <c r="H58" i="3"/>
  <c r="F58" i="3"/>
  <c r="G58" i="3" s="1"/>
  <c r="E58" i="3"/>
  <c r="D58" i="3"/>
  <c r="C58" i="3"/>
  <c r="I57" i="3"/>
  <c r="H57" i="3"/>
  <c r="F57" i="3"/>
  <c r="G57" i="3" s="1"/>
  <c r="E57" i="3"/>
  <c r="D57" i="3"/>
  <c r="C57" i="3"/>
  <c r="I56" i="3"/>
  <c r="H56" i="3"/>
  <c r="F56" i="3"/>
  <c r="G56" i="3" s="1"/>
  <c r="E56" i="3"/>
  <c r="D56" i="3"/>
  <c r="C56" i="3"/>
  <c r="I55" i="3"/>
  <c r="H55" i="3"/>
  <c r="F55" i="3"/>
  <c r="G55" i="3" s="1"/>
  <c r="E55" i="3"/>
  <c r="D55" i="3"/>
  <c r="C55" i="3"/>
  <c r="I54" i="3"/>
  <c r="H54" i="3"/>
  <c r="F54" i="3"/>
  <c r="G54" i="3" s="1"/>
  <c r="E54" i="3"/>
  <c r="D54" i="3"/>
  <c r="C54" i="3"/>
  <c r="I53" i="3"/>
  <c r="H53" i="3"/>
  <c r="F53" i="3"/>
  <c r="G53" i="3" s="1"/>
  <c r="E53" i="3"/>
  <c r="D53" i="3"/>
  <c r="C53" i="3"/>
  <c r="I52" i="3"/>
  <c r="H52" i="3"/>
  <c r="F52" i="3"/>
  <c r="G52" i="3" s="1"/>
  <c r="E52" i="3"/>
  <c r="D52" i="3"/>
  <c r="C52" i="3"/>
  <c r="I51" i="3"/>
  <c r="H51" i="3"/>
  <c r="F51" i="3"/>
  <c r="G51" i="3" s="1"/>
  <c r="E51" i="3"/>
  <c r="D51" i="3"/>
  <c r="C51" i="3"/>
  <c r="I50" i="3"/>
  <c r="H50" i="3"/>
  <c r="F50" i="3"/>
  <c r="G50" i="3" s="1"/>
  <c r="E50" i="3"/>
  <c r="D50" i="3"/>
  <c r="C50" i="3"/>
  <c r="I49" i="3"/>
  <c r="H49" i="3"/>
  <c r="F49" i="3"/>
  <c r="G49" i="3" s="1"/>
  <c r="E49" i="3"/>
  <c r="D49" i="3"/>
  <c r="C49" i="3"/>
  <c r="I48" i="3"/>
  <c r="H48" i="3"/>
  <c r="F48" i="3"/>
  <c r="G48" i="3" s="1"/>
  <c r="E48" i="3"/>
  <c r="D48" i="3"/>
  <c r="C48" i="3"/>
  <c r="I47" i="3"/>
  <c r="H47" i="3"/>
  <c r="F47" i="3"/>
  <c r="G47" i="3" s="1"/>
  <c r="E47" i="3"/>
  <c r="D47" i="3"/>
  <c r="C47" i="3"/>
  <c r="I46" i="3"/>
  <c r="H46" i="3"/>
  <c r="F46" i="3"/>
  <c r="G46" i="3" s="1"/>
  <c r="E46" i="3"/>
  <c r="D46" i="3"/>
  <c r="C46" i="3"/>
  <c r="I45" i="3"/>
  <c r="H45" i="3"/>
  <c r="F45" i="3"/>
  <c r="G45" i="3" s="1"/>
  <c r="E45" i="3"/>
  <c r="D45" i="3"/>
  <c r="C45" i="3"/>
  <c r="I44" i="3"/>
  <c r="H44" i="3"/>
  <c r="F44" i="3"/>
  <c r="G44" i="3" s="1"/>
  <c r="E44" i="3"/>
  <c r="D44" i="3"/>
  <c r="C44" i="3"/>
  <c r="I43" i="3"/>
  <c r="H43" i="3"/>
  <c r="F43" i="3"/>
  <c r="G43" i="3" s="1"/>
  <c r="E43" i="3"/>
  <c r="D43" i="3"/>
  <c r="C43" i="3"/>
  <c r="I42" i="3"/>
  <c r="H42" i="3"/>
  <c r="F42" i="3"/>
  <c r="G42" i="3" s="1"/>
  <c r="E42" i="3"/>
  <c r="D42" i="3"/>
  <c r="C42" i="3"/>
  <c r="I41" i="3"/>
  <c r="H41" i="3"/>
  <c r="F41" i="3"/>
  <c r="G41" i="3" s="1"/>
  <c r="E41" i="3"/>
  <c r="D41" i="3"/>
  <c r="C41" i="3"/>
  <c r="I40" i="3"/>
  <c r="H40" i="3"/>
  <c r="F40" i="3"/>
  <c r="G40" i="3" s="1"/>
  <c r="E40" i="3"/>
  <c r="D40" i="3"/>
  <c r="C40" i="3"/>
  <c r="I39" i="3"/>
  <c r="H39" i="3"/>
  <c r="F39" i="3"/>
  <c r="G39" i="3" s="1"/>
  <c r="E39" i="3"/>
  <c r="D39" i="3"/>
  <c r="C39" i="3"/>
  <c r="I38" i="3"/>
  <c r="H38" i="3"/>
  <c r="F38" i="3"/>
  <c r="G38" i="3" s="1"/>
  <c r="E38" i="3"/>
  <c r="D38" i="3"/>
  <c r="C38" i="3"/>
  <c r="I37" i="3"/>
  <c r="H37" i="3"/>
  <c r="F37" i="3"/>
  <c r="G37" i="3" s="1"/>
  <c r="E37" i="3"/>
  <c r="D37" i="3"/>
  <c r="C37" i="3"/>
  <c r="I36" i="3"/>
  <c r="H36" i="3"/>
  <c r="F36" i="3"/>
  <c r="G36" i="3" s="1"/>
  <c r="E36" i="3"/>
  <c r="D36" i="3"/>
  <c r="C36" i="3"/>
  <c r="I35" i="3"/>
  <c r="H35" i="3"/>
  <c r="F35" i="3"/>
  <c r="G35" i="3" s="1"/>
  <c r="E35" i="3"/>
  <c r="D35" i="3"/>
  <c r="C35" i="3"/>
  <c r="I34" i="3"/>
  <c r="H34" i="3"/>
  <c r="F34" i="3"/>
  <c r="G34" i="3" s="1"/>
  <c r="E34" i="3"/>
  <c r="D34" i="3"/>
  <c r="C34" i="3"/>
  <c r="I33" i="3"/>
  <c r="H33" i="3"/>
  <c r="F33" i="3"/>
  <c r="G33" i="3" s="1"/>
  <c r="E33" i="3"/>
  <c r="D33" i="3"/>
  <c r="C33" i="3"/>
  <c r="I32" i="3"/>
  <c r="H32" i="3"/>
  <c r="F32" i="3"/>
  <c r="G32" i="3" s="1"/>
  <c r="E32" i="3"/>
  <c r="D32" i="3"/>
  <c r="C32" i="3"/>
  <c r="I31" i="3"/>
  <c r="H31" i="3"/>
  <c r="F31" i="3"/>
  <c r="G31" i="3" s="1"/>
  <c r="E31" i="3"/>
  <c r="D31" i="3"/>
  <c r="C31" i="3"/>
  <c r="I30" i="3"/>
  <c r="H30" i="3"/>
  <c r="F30" i="3"/>
  <c r="G30" i="3" s="1"/>
  <c r="E30" i="3"/>
  <c r="D30" i="3"/>
  <c r="C30" i="3"/>
  <c r="I29" i="3"/>
  <c r="H29" i="3"/>
  <c r="F29" i="3"/>
  <c r="G29" i="3" s="1"/>
  <c r="E29" i="3"/>
  <c r="D29" i="3"/>
  <c r="C29" i="3"/>
  <c r="I28" i="3"/>
  <c r="H28" i="3"/>
  <c r="F28" i="3"/>
  <c r="G28" i="3" s="1"/>
  <c r="E28" i="3"/>
  <c r="D28" i="3"/>
  <c r="C28" i="3"/>
  <c r="I27" i="3"/>
  <c r="H27" i="3"/>
  <c r="F27" i="3"/>
  <c r="G27" i="3" s="1"/>
  <c r="E27" i="3"/>
  <c r="D27" i="3"/>
  <c r="C27" i="3"/>
  <c r="I26" i="3"/>
  <c r="H26" i="3"/>
  <c r="F26" i="3"/>
  <c r="G26" i="3" s="1"/>
  <c r="E26" i="3"/>
  <c r="D26" i="3"/>
  <c r="C26" i="3"/>
  <c r="I25" i="3"/>
  <c r="H25" i="3"/>
  <c r="F25" i="3"/>
  <c r="G25" i="3" s="1"/>
  <c r="E25" i="3"/>
  <c r="D25" i="3"/>
  <c r="C25" i="3"/>
  <c r="I24" i="3"/>
  <c r="H24" i="3"/>
  <c r="F24" i="3"/>
  <c r="G24" i="3" s="1"/>
  <c r="E24" i="3"/>
  <c r="D24" i="3"/>
  <c r="C24" i="3"/>
  <c r="I23" i="3"/>
  <c r="H23" i="3"/>
  <c r="F23" i="3"/>
  <c r="G23" i="3" s="1"/>
  <c r="E23" i="3"/>
  <c r="D23" i="3"/>
  <c r="C23" i="3"/>
  <c r="I22" i="3"/>
  <c r="H22" i="3"/>
  <c r="F22" i="3"/>
  <c r="G22" i="3" s="1"/>
  <c r="E22" i="3"/>
  <c r="D22" i="3"/>
  <c r="C22" i="3"/>
  <c r="I21" i="3"/>
  <c r="H21" i="3"/>
  <c r="F21" i="3"/>
  <c r="G21" i="3" s="1"/>
  <c r="E21" i="3"/>
  <c r="D21" i="3"/>
  <c r="C21" i="3"/>
  <c r="I20" i="3"/>
  <c r="H20" i="3"/>
  <c r="F20" i="3"/>
  <c r="G20" i="3" s="1"/>
  <c r="E20" i="3"/>
  <c r="D20" i="3"/>
  <c r="C20" i="3"/>
  <c r="I19" i="3"/>
  <c r="H19" i="3"/>
  <c r="F19" i="3"/>
  <c r="G19" i="3" s="1"/>
  <c r="E19" i="3"/>
  <c r="D19" i="3"/>
  <c r="C19" i="3"/>
  <c r="I18" i="3"/>
  <c r="H18" i="3"/>
  <c r="F18" i="3"/>
  <c r="G18" i="3" s="1"/>
  <c r="E18" i="3"/>
  <c r="D18" i="3"/>
  <c r="C18" i="3"/>
  <c r="I17" i="3"/>
  <c r="H17" i="3"/>
  <c r="F17" i="3"/>
  <c r="G17" i="3" s="1"/>
  <c r="E17" i="3"/>
  <c r="D17" i="3"/>
  <c r="C17" i="3"/>
  <c r="I16" i="3"/>
  <c r="H16" i="3"/>
  <c r="F16" i="3"/>
  <c r="G16" i="3" s="1"/>
  <c r="E16" i="3"/>
  <c r="D16" i="3"/>
  <c r="C16" i="3"/>
  <c r="I15" i="3"/>
  <c r="H15" i="3"/>
  <c r="F15" i="3"/>
  <c r="G15" i="3" s="1"/>
  <c r="E15" i="3"/>
  <c r="D15" i="3"/>
  <c r="C15" i="3"/>
  <c r="B11" i="3"/>
  <c r="J10" i="3"/>
  <c r="G10" i="3"/>
  <c r="F10" i="3"/>
  <c r="E10" i="3"/>
  <c r="D10" i="3"/>
  <c r="C10" i="3"/>
  <c r="J9" i="3"/>
  <c r="G9" i="3"/>
  <c r="F9" i="3"/>
  <c r="E9" i="3"/>
  <c r="D9" i="3"/>
  <c r="C9" i="3"/>
  <c r="J8" i="3"/>
  <c r="G8" i="3"/>
  <c r="F8" i="3"/>
  <c r="E8" i="3"/>
  <c r="D8" i="3"/>
  <c r="C8" i="3"/>
  <c r="J7" i="3"/>
  <c r="G7" i="3"/>
  <c r="F7" i="3"/>
  <c r="E7" i="3"/>
  <c r="D7" i="3"/>
  <c r="C7" i="3"/>
  <c r="J6" i="3"/>
  <c r="G6" i="3"/>
  <c r="F6" i="3"/>
  <c r="E6" i="3"/>
  <c r="D6" i="3"/>
  <c r="C6" i="3"/>
  <c r="H6" i="3" l="1"/>
  <c r="F11" i="3"/>
  <c r="E11" i="3"/>
  <c r="D11" i="3"/>
  <c r="J11" i="3"/>
  <c r="H10" i="3"/>
  <c r="I10" i="3"/>
  <c r="I9" i="3"/>
  <c r="H9" i="3"/>
  <c r="I8" i="3"/>
  <c r="H8" i="3"/>
  <c r="H7" i="3"/>
  <c r="I7" i="3"/>
  <c r="C11" i="3"/>
  <c r="G11" i="3"/>
  <c r="I6" i="3"/>
  <c r="H11" i="3" l="1"/>
  <c r="I11" i="3"/>
</calcChain>
</file>

<file path=xl/sharedStrings.xml><?xml version="1.0" encoding="utf-8"?>
<sst xmlns="http://schemas.openxmlformats.org/spreadsheetml/2006/main" count="5617" uniqueCount="795">
  <si>
    <t>Item</t>
  </si>
  <si>
    <t>Instructions / Current State</t>
  </si>
  <si>
    <t>Purpose</t>
  </si>
  <si>
    <t>Combined working tracker for A) OpenTrace Africa, B) Farm Lover partner use cases, and C) the integrated delivery sequence.</t>
  </si>
  <si>
    <t>Research owner</t>
  </si>
  <si>
    <t>What is populated</t>
  </si>
  <si>
    <t>OpenTrace has 54 countries × 5 ranked candidate leads = 270 slots. Farm Lover has a source register, four partner workstreams, an ingestion backlog and a research evidence log.</t>
  </si>
  <si>
    <t>OpenTrace exit criteria</t>
  </si>
  <si>
    <t>For each row, capture direct endpoint; country/commodity coverage; latest observation date; frequency; geographic granularity; units/currency; API or file access; licence/access terms; sample file or request evidence; and ingestion status.</t>
  </si>
  <si>
    <t>Validate each source against the target use case, retain the downloaded source artifact, record table/page/sheet and units, normalize dates/markets/commodities, run data-quality checks, then load into landing/Bronze/Silver/Gold layers.</t>
  </si>
  <si>
    <t>Farmgate/producer prices, market wholesale prices, retail food prices, export values and international benchmark prices are different measures. Do not merge them into one undifferentiated price series.</t>
  </si>
  <si>
    <t>Roadmap document</t>
  </si>
  <si>
    <t>OpenTrace Africa | Commodity Pricing Sources Tracker</t>
  </si>
  <si>
    <t>Research owner: Daniel. Candidate source leads are recorded; source-level verification is still required.</t>
  </si>
  <si>
    <t>How to use this tracker</t>
  </si>
  <si>
    <t>Pricing Tracker tab</t>
  </si>
  <si>
    <t>Each country has 5 rows, ranked 1 to 5. Rank 1 is the strongest pricing source for that country (most current, widest coverage, easiest to access).</t>
  </si>
  <si>
    <t>What to fill in</t>
  </si>
  <si>
    <t>Region, Country and Priority Rank are pre-filled. Researchers fill every column from Organisation to Notes. Cells with a dropdown only accept the listed values.</t>
  </si>
  <si>
    <t>Website</t>
  </si>
  <si>
    <t>Paste the direct link to the pricing page or data portal, not the organisation's homepage.</t>
  </si>
  <si>
    <t>Last Checked</t>
  </si>
  <si>
    <t>Enter the date you last confirmed the source is live and the frequency is correct (format YYYY-MM-DD).</t>
  </si>
  <si>
    <t>Fewer than 5 sources</t>
  </si>
  <si>
    <t>If a country genuinely has fewer than 5 sources, leave the extra rows blank and say why in Notes on the Rank 1 row.</t>
  </si>
  <si>
    <t>Summary tab</t>
  </si>
  <si>
    <t>Calculates automatically. Do not type in it. It shows, per country and per region, how many sources are found, have an API, are accessed or downloaded, and are ingested.</t>
  </si>
  <si>
    <t>Lists tab</t>
  </si>
  <si>
    <t>Holds the dropdown values. Edit there if a category needs adding.</t>
  </si>
  <si>
    <t>Status definitions</t>
  </si>
  <si>
    <t>Access Possibility</t>
  </si>
  <si>
    <t>Open: no login. Free registration: account needed, no cost. Paid: subscription or licence. Partnership needed: requires an agreement or MoU. Not accessible: exists but cannot be reached.</t>
  </si>
  <si>
    <t>Access Status</t>
  </si>
  <si>
    <t>Not started: identified only. Accessed: we have reached the data and confirmed it. Downloaded: we hold a copy or have pulled a sample.</t>
  </si>
  <si>
    <t>Ingestion Status</t>
  </si>
  <si>
    <t>Not ingested: not in the OpenTrace pipeline. In progress: handed to data engineering. Ingested: live in the pipeline and feeding Ask ADZA.</t>
  </si>
  <si>
    <t>Data Type</t>
  </si>
  <si>
    <t>Live: updated in real time. 24-hr delayed: daily refresh. Periodic: weekly, monthly or less. Historical only: no current updates.</t>
  </si>
  <si>
    <t>Example row (format guide only, verify before use)</t>
  </si>
  <si>
    <t>Region</t>
  </si>
  <si>
    <t>East Africa</t>
  </si>
  <si>
    <t>Country</t>
  </si>
  <si>
    <t>Kenya</t>
  </si>
  <si>
    <t>Priority Rank</t>
  </si>
  <si>
    <t>Organisation</t>
  </si>
  <si>
    <t>Kenya Agricultural Market Information System (KAMIS), Ministry of Agriculture</t>
  </si>
  <si>
    <t>Organisation Type</t>
  </si>
  <si>
    <t>Market Information System</t>
  </si>
  <si>
    <t>https://kamis.kilimo.go.ke</t>
  </si>
  <si>
    <t>24-hr delayed</t>
  </si>
  <si>
    <t>Commodities Covered</t>
  </si>
  <si>
    <t>Maize, beans, potatoes, vegetables, livestock</t>
  </si>
  <si>
    <t>Geographic Level</t>
  </si>
  <si>
    <t>Market-level</t>
  </si>
  <si>
    <t>Update Frequency</t>
  </si>
  <si>
    <t>Daily</t>
  </si>
  <si>
    <t>API Available</t>
  </si>
  <si>
    <t>Unknown</t>
  </si>
  <si>
    <t>Open</t>
  </si>
  <si>
    <t>Accessed</t>
  </si>
  <si>
    <t>Not ingested</t>
  </si>
  <si>
    <t>2026-10-18</t>
  </si>
  <si>
    <t>Researcher</t>
  </si>
  <si>
    <t>Initials</t>
  </si>
  <si>
    <t>Notes</t>
  </si>
  <si>
    <t>Check for bulk export option</t>
  </si>
  <si>
    <t>Daniel</t>
  </si>
  <si>
    <t>Verification rule</t>
  </si>
  <si>
    <t>Verify the exact direct page/file/API, country and commodity coverage, latest observation, frequency, units, access method and licence before marking a source accessed.</t>
  </si>
  <si>
    <t>Access-status rule</t>
  </si>
  <si>
    <t>Not started = identified only. Downloaded = a retained file or successful sample pull. Ingested = live in the OpenTrace pipeline.</t>
  </si>
  <si>
    <t>Completion caveat</t>
  </si>
  <si>
    <t>54 countries × 5 ranked candidate slots are populated. This does not prove that 270 live country-specific feeds exist. Record genuine gaps rather than inventing sources.</t>
  </si>
  <si>
    <t>Last checked</t>
  </si>
  <si>
    <t>Leave blank until that exact source row is checked. Dates are not backfilled from a general portal review.</t>
  </si>
  <si>
    <t>Commodity Pricing Sources Tracker | 54 countries × top 5 sources</t>
  </si>
  <si>
    <t>All 54 countries populated with five candidate sources each. Verify direct pricing endpoints, coverage, access, API and freshness before ingestion.</t>
  </si>
  <si>
    <t>Verification Evidence</t>
  </si>
  <si>
    <t>Evidence Status</t>
  </si>
  <si>
    <t>Workstream</t>
  </si>
  <si>
    <t>North Africa</t>
  </si>
  <si>
    <t>Algeria</t>
  </si>
  <si>
    <t>Algeria National Food Market / Price Reporting Source</t>
  </si>
  <si>
    <t>https://www.fao.org/giews/food-prices/tool/public/#/home</t>
  </si>
  <si>
    <t>Periodic</t>
  </si>
  <si>
    <t>Staple grains, cereals and selected food commodities</t>
  </si>
  <si>
    <t>Not started</t>
  </si>
  <si>
    <t>Use FAO FPMA to check country/market coverage; this is not proof of a national live feed.</t>
  </si>
  <si>
    <t>Candidate lead from existing tracker; country/commodity coverage, latest observation, direct data endpoint and access method still require source-level verification.</t>
  </si>
  <si>
    <t>Candidate - not independently verified</t>
  </si>
  <si>
    <t>OpenTrace Africa</t>
  </si>
  <si>
    <t>Office National des Statistiques (ONS)</t>
  </si>
  <si>
    <t>Statistics Office</t>
  </si>
  <si>
    <t>https://www.ons.dz</t>
  </si>
  <si>
    <t>Historical only</t>
  </si>
  <si>
    <t>Consumer food prices, CPI and food price indices</t>
  </si>
  <si>
    <t>National</t>
  </si>
  <si>
    <t>Monthly</t>
  </si>
  <si>
    <t>Official institution landing page; locate a direct price table and confirm commodity-level data.</t>
  </si>
  <si>
    <t>Ministry of Agriculture and Rural Development</t>
  </si>
  <si>
    <t>Government / Ministry</t>
  </si>
  <si>
    <t>https://madr.gov.dz</t>
  </si>
  <si>
    <t>Agricultural commodities, crops and market information where published</t>
  </si>
  <si>
    <t>Official institution landing page; commodity price series and publication frequency need verification. Candidate only; verify direct dataset, country/commodity coverage and access before ingestion.</t>
  </si>
  <si>
    <t>FAO GIEWS Food Price Monitoring and Analysis (FPMA)</t>
  </si>
  <si>
    <t>Multilateral / UN</t>
  </si>
  <si>
    <t>Domestic staple food prices and market series where available</t>
  </si>
  <si>
    <t>National / market-level</t>
  </si>
  <si>
    <t>Search by country and commodity; confirm latest observation and download/API options.</t>
  </si>
  <si>
    <t>WFP / HDX Food Prices Dataset</t>
  </si>
  <si>
    <t>https://data.humdata.org/dataset/wfp-food-prices</t>
  </si>
  <si>
    <t>Staple food prices in markets where WFP reporting exists</t>
  </si>
  <si>
    <t>Cross-country dataset; confirm records for this country, dates, units and commodity coverage.</t>
  </si>
  <si>
    <t>Egypt</t>
  </si>
  <si>
    <t>Egypt National Food Market / Price Reporting Source</t>
  </si>
  <si>
    <t>Central Agency for Public Mobilization and Statistics (CAPMAS)</t>
  </si>
  <si>
    <t>https://www.capmas.gov.eg</t>
  </si>
  <si>
    <t>Ministry of Agriculture and Land Reclamation</t>
  </si>
  <si>
    <t>https://moa.gov.eg</t>
  </si>
  <si>
    <t>Libya</t>
  </si>
  <si>
    <t>Libya National Food Market / Price Reporting Source</t>
  </si>
  <si>
    <t>Bureau of Statistics and Census</t>
  </si>
  <si>
    <t>https://bsc.ly</t>
  </si>
  <si>
    <t>Ministry of Agriculture and Livestock</t>
  </si>
  <si>
    <t>https://www.gov.ly</t>
  </si>
  <si>
    <t>Mauritania</t>
  </si>
  <si>
    <t>Mauritania National Food Market / Price Reporting Source</t>
  </si>
  <si>
    <t>National Agency of Statistics and Demographic and Economic Analysis (ANSADE)</t>
  </si>
  <si>
    <t>https://ansade.mr</t>
  </si>
  <si>
    <t>Ministry of Agriculture</t>
  </si>
  <si>
    <t>https://agriculture.gov.mr</t>
  </si>
  <si>
    <t>Morocco</t>
  </si>
  <si>
    <t>Morocco National Food Market / Price Reporting Source</t>
  </si>
  <si>
    <t>Haut-Commissariat au Plan (HCP)</t>
  </si>
  <si>
    <t>https://www.hcp.ma</t>
  </si>
  <si>
    <t>Ministry of Agriculture, Maritime Fisheries, Rural Development and Water and Forests</t>
  </si>
  <si>
    <t>https://www.agriculture.gov.ma</t>
  </si>
  <si>
    <t>Tunisia</t>
  </si>
  <si>
    <t>Tunisia National Food Market / Price Reporting Source</t>
  </si>
  <si>
    <t>National Institute of Statistics (INS)</t>
  </si>
  <si>
    <t>https://www.ins.tn</t>
  </si>
  <si>
    <t>Ministry of Agriculture, Water Resources and Fisheries</t>
  </si>
  <si>
    <t>https://www.agriculture.tn</t>
  </si>
  <si>
    <t>West Africa</t>
  </si>
  <si>
    <t>Benin</t>
  </si>
  <si>
    <t>Benin National Food Market / Price Reporting Source</t>
  </si>
  <si>
    <t>National Institute of Statistics and Demography (INStaD)</t>
  </si>
  <si>
    <t>https://instad.bj</t>
  </si>
  <si>
    <t>Ministry of Agriculture, Livestock and Fisheries</t>
  </si>
  <si>
    <t>https://agriculture.gouv.bj</t>
  </si>
  <si>
    <t>Burkina Faso</t>
  </si>
  <si>
    <t>Burkina Faso National Food Market / Price Reporting Source</t>
  </si>
  <si>
    <t>National Institute of Statistics and Demography (INSD)</t>
  </si>
  <si>
    <t>https://www.insd.bf</t>
  </si>
  <si>
    <t>Ministry of Agriculture and Animal Resources</t>
  </si>
  <si>
    <t>https://www.agriculture.gov.bf</t>
  </si>
  <si>
    <t>Cabo Verde</t>
  </si>
  <si>
    <t>Cabo Verde National Food Market / Price Reporting Source</t>
  </si>
  <si>
    <t>National Statistics Institute (INE)</t>
  </si>
  <si>
    <t>https://ine.cv</t>
  </si>
  <si>
    <t>Ministry of Agriculture and Environment</t>
  </si>
  <si>
    <t>https://www.governo.cv</t>
  </si>
  <si>
    <t>Côte d'Ivoire</t>
  </si>
  <si>
    <t>Côte d'Ivoire National Food Market / Price Reporting Source</t>
  </si>
  <si>
    <t>https://www.ins.ci</t>
  </si>
  <si>
    <t>Ministry of Agriculture, Rural Development and Food Production</t>
  </si>
  <si>
    <t>https://www.agriculture.gouv.ci</t>
  </si>
  <si>
    <t>The Gambia</t>
  </si>
  <si>
    <t>The Gambia National Food Market / Price Reporting Source</t>
  </si>
  <si>
    <t>Gambia Bureau of Statistics (GBoS)</t>
  </si>
  <si>
    <t>https://www.gbosdata.org</t>
  </si>
  <si>
    <t>https://moa.gov.gm</t>
  </si>
  <si>
    <t>Ghana</t>
  </si>
  <si>
    <t>Ghana National Food Market / Price Reporting Source</t>
  </si>
  <si>
    <t>Ghana Statistical Service (GSS)</t>
  </si>
  <si>
    <t>https://statsghana.gov.gh</t>
  </si>
  <si>
    <t>Ministry of Food and Agriculture (MoFA)</t>
  </si>
  <si>
    <t>https://mofa.gov.gh</t>
  </si>
  <si>
    <t>Guinea</t>
  </si>
  <si>
    <t>Guinea National Food Market / Price Reporting Source</t>
  </si>
  <si>
    <t>https://www.stat-guinee.org</t>
  </si>
  <si>
    <t>https://agriculture.gov.gn</t>
  </si>
  <si>
    <t>Guinea-Bissau</t>
  </si>
  <si>
    <t>Guinea-Bissau National Food Market / Price Reporting Source</t>
  </si>
  <si>
    <t>National Institute of Statistics (INE)</t>
  </si>
  <si>
    <t>https://www.stat-guinebissau.com</t>
  </si>
  <si>
    <t>https://www.gov.gw</t>
  </si>
  <si>
    <t>Liberia</t>
  </si>
  <si>
    <t>Liberia National Food Market / Price Reporting Source</t>
  </si>
  <si>
    <t>Liberia Institute of Statistics and Geo-Information Services (LISGIS)</t>
  </si>
  <si>
    <t>https://lisgis.gov.lr</t>
  </si>
  <si>
    <t>https://moa.gov.lr</t>
  </si>
  <si>
    <t>Mali</t>
  </si>
  <si>
    <t>Mali National Food Market / Price Reporting Source</t>
  </si>
  <si>
    <t>National Institute of Statistics (INSTAT)</t>
  </si>
  <si>
    <t>https://instat-mali.org</t>
  </si>
  <si>
    <t>https://ma.gouv.ml</t>
  </si>
  <si>
    <t>Niger</t>
  </si>
  <si>
    <t>Niger National Food Market / Price Reporting Source</t>
  </si>
  <si>
    <t>https://www.stat-niger.org</t>
  </si>
  <si>
    <t>https://agriculture.gouv.ne</t>
  </si>
  <si>
    <t>Nigeria</t>
  </si>
  <si>
    <t>HDX WFP Nigeria Food Prices (physical market data)</t>
  </si>
  <si>
    <t>Yam, cassava, garri, plantain, cowpea, rice, maize, sorghum and selected foods</t>
  </si>
  <si>
    <t>Second workbook identifies HDX WFP Nigeria as a physical-price source; verify exact dataset revision and date coverage.</t>
  </si>
  <si>
    <t>World Bank Commodity Markets (Pink Sheet)</t>
  </si>
  <si>
    <t>https://www.worldbank.org/en/research/commodity-markets</t>
  </si>
  <si>
    <t>Global benchmark prices for rice, wheat, maize, oils, cocoa, coffee, cotton, sugar and other traded commodities</t>
  </si>
  <si>
    <t>Global benchmark</t>
  </si>
  <si>
    <t>Benchmark prices, not Nigerian local-market prices; source in second workbook reports a monthly downloadable file. Candidate only; verify direct dataset, country/commodity coverage and access before ingestion.</t>
  </si>
  <si>
    <t>World Bank High Frequency Checks Phone Survey (HFCP), Nigeria catalog</t>
  </si>
  <si>
    <t>https://microdata.worldbank.org/catalog/8197</t>
  </si>
  <si>
    <t>Household food prices/market indicators for selected commodities</t>
  </si>
  <si>
    <t>National / survey-level</t>
  </si>
  <si>
    <t>Free registration</t>
  </si>
  <si>
    <t>Second workbook reports catalog/API endpoints; microdata files may require World Bank login. Candidate only; verify direct dataset, country/commodity coverage and access before ingestion.</t>
  </si>
  <si>
    <t>Domestic staple food prices where available</t>
  </si>
  <si>
    <t>Confirm Nigeria commodity coverage and latest observation.</t>
  </si>
  <si>
    <t>National Bureau of Statistics (NBS), Nigeria</t>
  </si>
  <si>
    <t>https://www.nigerianstat.gov.ng</t>
  </si>
  <si>
    <t>Food CPI, selected prices and inflation statistics</t>
  </si>
  <si>
    <t>Official statistics; find commodity-level price table and verify direct download.</t>
  </si>
  <si>
    <t>Senegal</t>
  </si>
  <si>
    <t>Senegal National Food Market / Price Reporting Source</t>
  </si>
  <si>
    <t>National Agency of Statistics and Demography (ANSD)</t>
  </si>
  <si>
    <t>https://www.ansd.sn</t>
  </si>
  <si>
    <t>Ministry of Agriculture, Food Sovereignty and Livestock</t>
  </si>
  <si>
    <t>https://www.agriculture.gouv.sn</t>
  </si>
  <si>
    <t>Sierra Leone</t>
  </si>
  <si>
    <t>Sierra Leone National Food Market / Price Reporting Source</t>
  </si>
  <si>
    <t>Statistics Sierra Leone (Stats SL)</t>
  </si>
  <si>
    <t>https://www.statistics.sl</t>
  </si>
  <si>
    <t>Ministry of Agriculture and Food Security</t>
  </si>
  <si>
    <t>https://maf.gov.sl</t>
  </si>
  <si>
    <t>Togo</t>
  </si>
  <si>
    <t>Togo National Food Market / Price Reporting Source</t>
  </si>
  <si>
    <t>National Institute of Statistics and Economic and Demographic Studies (INSEED)</t>
  </si>
  <si>
    <t>https://inseed.tg</t>
  </si>
  <si>
    <t>Ministry of Agriculture, Livestock and Rural Development</t>
  </si>
  <si>
    <t>https://agriculture.gouv.tg</t>
  </si>
  <si>
    <t>Central Africa</t>
  </si>
  <si>
    <t>Burundi</t>
  </si>
  <si>
    <t>Burundi National Food Market / Price Reporting Source</t>
  </si>
  <si>
    <t>Institute of Statistics and Economic Studies of Burundi (ISTEEBU)</t>
  </si>
  <si>
    <t>https://www.isteebu.bi</t>
  </si>
  <si>
    <t>Ministry of Environment, Agriculture and Livestock</t>
  </si>
  <si>
    <t>https://minagrie.gov.bi</t>
  </si>
  <si>
    <t>Cameroon</t>
  </si>
  <si>
    <t>Cameroon National Food Market / Price Reporting Source</t>
  </si>
  <si>
    <t>https://ins-cameroun.cm</t>
  </si>
  <si>
    <t>Ministry of Agriculture and Rural Development (MINADER)</t>
  </si>
  <si>
    <t>https://www.minader.cm</t>
  </si>
  <si>
    <t>Central African Republic</t>
  </si>
  <si>
    <t>Central African Republic National Food Market / Price Reporting Source</t>
  </si>
  <si>
    <t>Institute of Statistics, Economic and Social Studies (ICASEES)</t>
  </si>
  <si>
    <t>https://icasees.org</t>
  </si>
  <si>
    <t>https://www.gouv.cf</t>
  </si>
  <si>
    <t>Chad</t>
  </si>
  <si>
    <t>Chad National Food Market / Price Reporting Source</t>
  </si>
  <si>
    <t>National Institute of Statistics, Economic and Demographic Studies (INSEED)</t>
  </si>
  <si>
    <t>https://www.inseed.td</t>
  </si>
  <si>
    <t>https://agriculture.gouv.td</t>
  </si>
  <si>
    <t>Republic of the Congo</t>
  </si>
  <si>
    <t>Republic of the Congo National Food Market / Price Reporting Source</t>
  </si>
  <si>
    <t>https://ins-congo.cg</t>
  </si>
  <si>
    <t>https://www.agriculture.gouv.cg</t>
  </si>
  <si>
    <t>DR Congo</t>
  </si>
  <si>
    <t>DR Congo National Food Market / Price Reporting Source</t>
  </si>
  <si>
    <t>https://ins.cd</t>
  </si>
  <si>
    <t>https://agriculture.gouv.cd</t>
  </si>
  <si>
    <t>Equatorial Guinea</t>
  </si>
  <si>
    <t>Equatorial Guinea National Food Market / Price Reporting Source</t>
  </si>
  <si>
    <t>National Institute of Statistics (INEGE)</t>
  </si>
  <si>
    <t>https://inege.gq</t>
  </si>
  <si>
    <t>https://www.guineaecuatorialpress.com</t>
  </si>
  <si>
    <t>Gabon</t>
  </si>
  <si>
    <t>Gabon National Food Market / Price Reporting Source</t>
  </si>
  <si>
    <t>Directorate General of Statistics (DGSTAT)</t>
  </si>
  <si>
    <t>https://www.statgabon.ga</t>
  </si>
  <si>
    <t>https://www.gouvernement.ga</t>
  </si>
  <si>
    <t>São Tomé and Príncipe</t>
  </si>
  <si>
    <t>São Tomé and Príncipe National Food Market / Price Reporting Source</t>
  </si>
  <si>
    <t>https://www.ine.st</t>
  </si>
  <si>
    <t>https://www.gov.st</t>
  </si>
  <si>
    <t>Comoros</t>
  </si>
  <si>
    <t>Comoros National Food Market / Price Reporting Source</t>
  </si>
  <si>
    <t>https://www.inseed.km</t>
  </si>
  <si>
    <t>Ministry of Agriculture, Fisheries and Environment</t>
  </si>
  <si>
    <t>https://beit-salam.km</t>
  </si>
  <si>
    <t>Djibouti</t>
  </si>
  <si>
    <t>Djibouti National Food Market / Price Reporting Source</t>
  </si>
  <si>
    <t>National Institute of Statistics (INSTAD)</t>
  </si>
  <si>
    <t>https://instad.dj</t>
  </si>
  <si>
    <t>Ministry of Agriculture, Water, Fisheries, Livestock and Marine Resources</t>
  </si>
  <si>
    <t>https://www.gouv.dj</t>
  </si>
  <si>
    <t>Eritrea</t>
  </si>
  <si>
    <t>Eritrea National Food Market / Price Reporting Source</t>
  </si>
  <si>
    <t>National Statistics Office</t>
  </si>
  <si>
    <t>https://www.nso.gov.er</t>
  </si>
  <si>
    <t>https://www.gov.er</t>
  </si>
  <si>
    <t>Ethiopia</t>
  </si>
  <si>
    <t>Ethiopia National Food Market / Price Reporting Source</t>
  </si>
  <si>
    <t>Ethiopian Statistics Service (ESS)</t>
  </si>
  <si>
    <t>https://www.statsethiopia.gov.et</t>
  </si>
  <si>
    <t>https://www.moa.gov.et</t>
  </si>
  <si>
    <t>Kenya Agricultural Market Information System (KAMIS)</t>
  </si>
  <si>
    <t>Market-price portal; confirm current availability and export/API options.</t>
  </si>
  <si>
    <t>Nairobi Coffee Exchange</t>
  </si>
  <si>
    <t>Commodity Exchange</t>
  </si>
  <si>
    <t>https://www.nairobicoffeeexchange.co.ke</t>
  </si>
  <si>
    <t>Coffee</t>
  </si>
  <si>
    <t>Weekly</t>
  </si>
  <si>
    <t>Coffee auction prices; coverage limited to coffee.</t>
  </si>
  <si>
    <t>Kenya National Bureau of Statistics (KNBS)</t>
  </si>
  <si>
    <t>https://www.knbs.or.ke</t>
  </si>
  <si>
    <t>Consumer food prices, CPI</t>
  </si>
  <si>
    <t>Official statistics; locate the latest CPI/retail price tables. Candidate only; verify direct dataset, country/commodity coverage and access before ingestion.</t>
  </si>
  <si>
    <t>Agriculture and Food Authority (AFA), Kenya</t>
  </si>
  <si>
    <t>https://www.afa.go.ke</t>
  </si>
  <si>
    <t>Coffee, tea, horticulture, nuts and other scheduled crops</t>
  </si>
  <si>
    <t>Commodity directorates publish sector reports; price series/export availability needs checking. Candidate only; verify direct dataset, country/commodity coverage and access before ingestion.</t>
  </si>
  <si>
    <t>Staple foods and market prices where reported</t>
  </si>
  <si>
    <t>Cross-country dataset; confirm Kenya records, dates and commodity coverage before use.</t>
  </si>
  <si>
    <t>Madagascar</t>
  </si>
  <si>
    <t>Madagascar National Food Market / Price Reporting Source</t>
  </si>
  <si>
    <t>https://www.instat.mg</t>
  </si>
  <si>
    <t>https://www.agriculture.gov.mg</t>
  </si>
  <si>
    <t>Mauritius</t>
  </si>
  <si>
    <t>Mauritius National Food Market / Price Reporting Source</t>
  </si>
  <si>
    <t>Statistics Mauritius</t>
  </si>
  <si>
    <t>https://statsmauritius.govmu.org</t>
  </si>
  <si>
    <t>Ministry of Agro-Industry and Food Security</t>
  </si>
  <si>
    <t>https://agriculture.govmu.org</t>
  </si>
  <si>
    <t>Rwanda</t>
  </si>
  <si>
    <t>Rwanda National Food Market / Price Reporting Source</t>
  </si>
  <si>
    <t>National Institute of Statistics of Rwanda (NISR)</t>
  </si>
  <si>
    <t>https://www.statistics.gov.rw</t>
  </si>
  <si>
    <t>Ministry of Agriculture and Animal Resources (MINAGRI)</t>
  </si>
  <si>
    <t>https://www.minagri.gov.rw</t>
  </si>
  <si>
    <t>Seychelles</t>
  </si>
  <si>
    <t>Seychelles National Food Market / Price Reporting Source</t>
  </si>
  <si>
    <t>National Bureau of Statistics (NBS)</t>
  </si>
  <si>
    <t>https://www.nbs.gov.sc</t>
  </si>
  <si>
    <t>Ministry of Agriculture, Climate Change and Environment</t>
  </si>
  <si>
    <t>https://macce.gov.sc</t>
  </si>
  <si>
    <t>Somalia</t>
  </si>
  <si>
    <t>Somalia National Food Market / Price Reporting Source</t>
  </si>
  <si>
    <t>Somalia National Bureau of Statistics (SNBS)</t>
  </si>
  <si>
    <t>https://nbs.gov.so</t>
  </si>
  <si>
    <t>Ministry of Agriculture and Irrigation</t>
  </si>
  <si>
    <t>https://moa.gov.so</t>
  </si>
  <si>
    <t>South Sudan</t>
  </si>
  <si>
    <t>South Sudan National Food Market / Price Reporting Source</t>
  </si>
  <si>
    <t>https://ssnbs.org</t>
  </si>
  <si>
    <t>https://mafs.gov.ss</t>
  </si>
  <si>
    <t>Sudan</t>
  </si>
  <si>
    <t>Sudan National Food Market / Price Reporting Source</t>
  </si>
  <si>
    <t>Central Bureau of Statistics (CBS)</t>
  </si>
  <si>
    <t>https://cbs.gov.sd</t>
  </si>
  <si>
    <t>Ministry of Agriculture and Forestry</t>
  </si>
  <si>
    <t>https://moaf.gov.sd</t>
  </si>
  <si>
    <t>Tanzania</t>
  </si>
  <si>
    <t>Tanzania National Food Market / Price Reporting Source</t>
  </si>
  <si>
    <t>https://www.nbs.go.tz</t>
  </si>
  <si>
    <t>https://www.kilimo.go.tz</t>
  </si>
  <si>
    <t>Uganda</t>
  </si>
  <si>
    <t>Uganda National Food Market / Price Reporting Source</t>
  </si>
  <si>
    <t>Uganda Bureau of Statistics (UBOS)</t>
  </si>
  <si>
    <t>https://www.ubos.org</t>
  </si>
  <si>
    <t>Ministry of Agriculture, Animal Industry and Fisheries (MAAIF)</t>
  </si>
  <si>
    <t>https://www.agriculture.go.ug</t>
  </si>
  <si>
    <t>Southern Africa</t>
  </si>
  <si>
    <t>Angola</t>
  </si>
  <si>
    <t>Angola National Food Market / Price Reporting Source</t>
  </si>
  <si>
    <t>https://www.ine.gov.ao</t>
  </si>
  <si>
    <t>https://minagrif.gov.ao</t>
  </si>
  <si>
    <t>Botswana</t>
  </si>
  <si>
    <t>Botswana National Food Market / Price Reporting Source</t>
  </si>
  <si>
    <t>Statistics Botswana</t>
  </si>
  <si>
    <t>https://www.statsbots.org.bw</t>
  </si>
  <si>
    <t>Ministry of Lands and Agriculture</t>
  </si>
  <si>
    <t>https://www.gov.bw</t>
  </si>
  <si>
    <t>Eswatini</t>
  </si>
  <si>
    <t>Eswatini National Food Market / Price Reporting Source</t>
  </si>
  <si>
    <t>Eswatini Central Statistical Office</t>
  </si>
  <si>
    <t>https://www.gov.sz</t>
  </si>
  <si>
    <t>Lesotho</t>
  </si>
  <si>
    <t>Lesotho National Food Market / Price Reporting Source</t>
  </si>
  <si>
    <t>Bureau of Statistics (BOS)</t>
  </si>
  <si>
    <t>https://www.bos.gov.ls</t>
  </si>
  <si>
    <t>Ministry of Agriculture, Food Security and Nutrition</t>
  </si>
  <si>
    <t>https://www.gov.ls</t>
  </si>
  <si>
    <t>Malawi</t>
  </si>
  <si>
    <t>Malawi National Food Market / Price Reporting Source</t>
  </si>
  <si>
    <t>National Statistical Office (NSO)</t>
  </si>
  <si>
    <t>https://www.nsomalawi.mw</t>
  </si>
  <si>
    <t>https://agriculture.gov.mw</t>
  </si>
  <si>
    <t>Mozambique</t>
  </si>
  <si>
    <t>Mozambique National Food Market / Price Reporting Source</t>
  </si>
  <si>
    <t>https://www.ine.gov.mz</t>
  </si>
  <si>
    <t>https://www.agricultura.gov.mz</t>
  </si>
  <si>
    <t>Namibia</t>
  </si>
  <si>
    <t>Namibia National Food Market / Price Reporting Source</t>
  </si>
  <si>
    <t>Namibia Statistics Agency (NSA)</t>
  </si>
  <si>
    <t>https://nsa.org.na</t>
  </si>
  <si>
    <t>Ministry of Agriculture, Fisheries, Water and Land Reform</t>
  </si>
  <si>
    <t>https://mawlr.gov.na</t>
  </si>
  <si>
    <t>South Africa</t>
  </si>
  <si>
    <t>JSE Agricultural Derivatives (SAFEX)</t>
  </si>
  <si>
    <t>https://www.jse.co.za/derivatives/commodities</t>
  </si>
  <si>
    <t>Maize, wheat, soybeans, sunflower seed and other listed agricultural derivatives</t>
  </si>
  <si>
    <t>Exchange-traded futures/derivatives, not retail prices; verify data download/licensing.</t>
  </si>
  <si>
    <t>Grain SA Market Information</t>
  </si>
  <si>
    <t>NGO / Research</t>
  </si>
  <si>
    <t>https://www.grainsa.co.za</t>
  </si>
  <si>
    <t>Maize, wheat, soybeans, sunflower seed and grain markets</t>
  </si>
  <si>
    <t>Market reports and price information; confirm exact series and reuse terms.</t>
  </si>
  <si>
    <t>National Agricultural Marketing Council (NAMC)</t>
  </si>
  <si>
    <t>https://www.namc.co.za</t>
  </si>
  <si>
    <t>Agricultural commodity markets and food prices</t>
  </si>
  <si>
    <t>Check market intelligence and food price monitoring publications. Candidate only; verify direct dataset, country/commodity coverage and access before ingestion.</t>
  </si>
  <si>
    <t>Statistics South Africa (Stats SA)</t>
  </si>
  <si>
    <t>https://www.statssa.gov.za</t>
  </si>
  <si>
    <t>Consumer food prices, CPI and producer price indices</t>
  </si>
  <si>
    <t>Official price indices; locate current food-price tables. Candidate only; verify direct dataset, country/commodity coverage and access before ingestion.</t>
  </si>
  <si>
    <t>Cross-country dataset; confirm South Africa records, dates and commodity coverage before use.</t>
  </si>
  <si>
    <t>Zambia</t>
  </si>
  <si>
    <t>Zambia National Food Market / Price Reporting Source</t>
  </si>
  <si>
    <t>Zambia Statistics Agency (ZamStats)</t>
  </si>
  <si>
    <t>https://www.zamstats.gov.zm</t>
  </si>
  <si>
    <t>https://www.agriculture.gov.zm</t>
  </si>
  <si>
    <t>Zimbabwe</t>
  </si>
  <si>
    <t>Zimbabwe National Food Market / Price Reporting Source</t>
  </si>
  <si>
    <t>Zimbabwe National Statistics Agency (ZIMSTAT)</t>
  </si>
  <si>
    <t>https://www.zimstat.co.zw</t>
  </si>
  <si>
    <t>Ministry of Lands, Agriculture, Fisheries, Water and Rural Development</t>
  </si>
  <si>
    <t>https://www.moa.gov.zw</t>
  </si>
  <si>
    <t>Progress Summary</t>
  </si>
  <si>
    <t>Candidate leads are listed for all 54 countries. Verified-source counts remain zero until evidence status is changed after source-level checks.</t>
  </si>
  <si>
    <t>By region</t>
  </si>
  <si>
    <t>Countries</t>
  </si>
  <si>
    <t>Target Sources</t>
  </si>
  <si>
    <t>Candidate Leads Listed</t>
  </si>
  <si>
    <t>Accessed or Downloaded</t>
  </si>
  <si>
    <t>Ingested</t>
  </si>
  <si>
    <t>% Candidate Leads Listed</t>
  </si>
  <si>
    <t>% Ingested</t>
  </si>
  <si>
    <t>Verified Sources</t>
  </si>
  <si>
    <t>Africa total</t>
  </si>
  <si>
    <t>By country</t>
  </si>
  <si>
    <t>Candidate Leads Listed (of 5)</t>
  </si>
  <si>
    <t>% Ingested of Target</t>
  </si>
  <si>
    <t>Last Checked (latest)</t>
  </si>
  <si>
    <t>Live</t>
  </si>
  <si>
    <t>Real-time</t>
  </si>
  <si>
    <t>Yes</t>
  </si>
  <si>
    <t>Sub-national</t>
  </si>
  <si>
    <t>No</t>
  </si>
  <si>
    <t>In progress</t>
  </si>
  <si>
    <t>Partial</t>
  </si>
  <si>
    <t>Paid</t>
  </si>
  <si>
    <t>Downloaded</t>
  </si>
  <si>
    <t>Regional</t>
  </si>
  <si>
    <t>Partnership needed</t>
  </si>
  <si>
    <t>Quarterly</t>
  </si>
  <si>
    <t>Not accessible</t>
  </si>
  <si>
    <t>Regional Body</t>
  </si>
  <si>
    <t>Irregular</t>
  </si>
  <si>
    <t>Private Platform</t>
  </si>
  <si>
    <t>Other</t>
  </si>
  <si>
    <t>Country/Region</t>
  </si>
  <si>
    <t>Partner need</t>
  </si>
  <si>
    <t>Source / organisation</t>
  </si>
  <si>
    <t>Target data</t>
  </si>
  <si>
    <t>Direct URL</t>
  </si>
  <si>
    <t>Format / access path</t>
  </si>
  <si>
    <t>Priority</t>
  </si>
  <si>
    <t>Evidence status</t>
  </si>
  <si>
    <t>Access status</t>
  </si>
  <si>
    <t>Proposed ingestion</t>
  </si>
  <si>
    <t>Caveats / next validation</t>
  </si>
  <si>
    <t>G1</t>
  </si>
  <si>
    <t>KwaZulu-Natal vegetable farmers</t>
  </si>
  <si>
    <t>Department of Agriculture: Statistics on Fresh Produce Markets archive</t>
  </si>
  <si>
    <t>Market sales volumes, sales value, average price by market and commodity; not farmgate price</t>
  </si>
  <si>
    <t>https://www.nda.gov.za/index.php/publication/336-fresh-produce</t>
  </si>
  <si>
    <t>Archive + downloadable XLSX</t>
  </si>
  <si>
    <t>High</t>
  </si>
  <si>
    <t>Candidate / archive URL recorded; inspect files and exact table coverage</t>
  </si>
  <si>
    <t>Open / likely downloadable</t>
  </si>
  <si>
    <t>XLSX batch ingest</t>
  </si>
  <si>
    <t>Use for market context; do not label wholesale market prices as prices received by farmers.</t>
  </si>
  <si>
    <t>Stats SA Agricultural Survey (P1101)</t>
  </si>
  <si>
    <t>Agricultural area/production and selected farming statistics; check vegetable/provincial detail</t>
  </si>
  <si>
    <t>https://www.statssa.gov.za/?PPN=P1101&amp;page_id=1854</t>
  </si>
  <si>
    <t>Published report/tables</t>
  </si>
  <si>
    <t>Medium</t>
  </si>
  <si>
    <t>Candidate / direct report landing page identified; table coverage needs validation</t>
  </si>
  <si>
    <t>Open / publication access</t>
  </si>
  <si>
    <t>PDF/XLSX extraction</t>
  </si>
  <si>
    <t>Record survey year, province, crop, unit and page/table.</t>
  </si>
  <si>
    <t>FAOSTAT Producer Prices</t>
  </si>
  <si>
    <t>National annual/monthly producer prices where available, plus metadata</t>
  </si>
  <si>
    <t>https://www.fao.org/faostat/en/#data</t>
  </si>
  <si>
    <t>API/bulk download</t>
  </si>
  <si>
    <t>Global portal confirmed; South Africa × target crop coverage still needs checking</t>
  </si>
  <si>
    <t>Benchmark only if crop/period/definition aligns; national series may not be provincial.</t>
  </si>
  <si>
    <t>G2</t>
  </si>
  <si>
    <t>Gauteng vegetable traders</t>
  </si>
  <si>
    <t>Statistics on Fresh Produce Markets 2024 XLSX</t>
  </si>
  <si>
    <t>Market-level volumes, sales values and average prices; includes market tables to inspect</t>
  </si>
  <si>
    <t>https://www.nda.gov.za/images/Branches/Economica%20Development%20Trade%20and%20Marketing/Statistc%20and%20%20Economic%20Analysis/statistical-information/statistics-on-fresh-produce-markets-2024.xlsx</t>
  </si>
  <si>
    <t>XLSX</t>
  </si>
  <si>
    <t>Direct XLSX URL from plan; current reachability not re-tested in this pass</t>
  </si>
  <si>
    <t>Open / verify download</t>
  </si>
  <si>
    <t>Preferred initial MVP. Preserve market, commodity, date/year, volume and sales-value definitions.</t>
  </si>
  <si>
    <t>Joburg Market daily prices</t>
  </si>
  <si>
    <t>Daily wholesale prices and market information</t>
  </si>
  <si>
    <t>https://joburgmarket.co.za/jhb-market/dailyprices.php</t>
  </si>
  <si>
    <t>Web page / possible structured data</t>
  </si>
  <si>
    <t>Portal URL recorded; structured export/API and history need validation</t>
  </si>
  <si>
    <t>Open / validation pending</t>
  </si>
  <si>
    <t>Download if supported; otherwise approved manual extraction only</t>
  </si>
  <si>
    <t>Do not assume an API exists; inspect page/network/export and terms.</t>
  </si>
  <si>
    <t>Fresh Produce Markets archive</t>
  </si>
  <si>
    <t>Historical market workbooks for trend series</t>
  </si>
  <si>
    <t>Archive + XLSX</t>
  </si>
  <si>
    <t>Archive URL recorded; select relevant years and verify columns</t>
  </si>
  <si>
    <t>Potentially supports broader markets, not only Johannesburg.</t>
  </si>
  <si>
    <t>G3</t>
  </si>
  <si>
    <t>Abuja/FCT, Edo, Benue, Delta</t>
  </si>
  <si>
    <t>WFP Food Prices for Nigeria via HDX</t>
  </si>
  <si>
    <t>Physical food prices by date, state/admin1, market, commodity, unit, currency and price type</t>
  </si>
  <si>
    <t>https://data.humdata.org/dataset/42db041f-7aaf-4ab4-961f-2a12096861e7</t>
  </si>
  <si>
    <t>CSV dataset</t>
  </si>
  <si>
    <t>Prior workbook records a successful CSV sample pull; target-state freshness/coverage still needs a fresh filter test</t>
  </si>
  <si>
    <t>Public CSV / verify current resource</t>
  </si>
  <si>
    <t>CSV batch ingest</t>
  </si>
  <si>
    <t>Validate FCT, Edo, Benue and Delta individually; keep stale commodities flagged.</t>
  </si>
  <si>
    <t>NBS Selected Food Price Watch related materials</t>
  </si>
  <si>
    <t>Official food-price reports and downloadable tables</t>
  </si>
  <si>
    <t>https://microdata.nigerianstat.gov.ng/index.php/catalog/162/related-materials</t>
  </si>
  <si>
    <t>Reports / ZIP / XLSX</t>
  </si>
  <si>
    <t>Prior research notes public report downloads; current files and geographic coverage need verification</t>
  </si>
  <si>
    <t>Public downloads / validate</t>
  </si>
  <si>
    <t>ZIP/XLSX ingestion</t>
  </si>
  <si>
    <t>Record month, state coverage, commodity, unit and price type.</t>
  </si>
  <si>
    <t>NBS Nigeria Agricultural Survey catalogue</t>
  </si>
  <si>
    <t>Agricultural production and survey data where released</t>
  </si>
  <si>
    <t>https://microdata.nigerianstat.gov.ng/index.php/catalog/173</t>
  </si>
  <si>
    <t>Catalogue / survey files</t>
  </si>
  <si>
    <t>Catalogue identified; dataset access and state/crop variables need checking</t>
  </si>
  <si>
    <t>Catalogue open / file access pending</t>
  </si>
  <si>
    <t>Download after access review</t>
  </si>
  <si>
    <t>Not a substitute for market prices.</t>
  </si>
  <si>
    <t>World Bank Nigeria Real-Time Food Prices catalogue</t>
  </si>
  <si>
    <t>Market price panel; access may require microdata login depending on file</t>
  </si>
  <si>
    <t>https://microdata.worldbank.org/catalog/5712</t>
  </si>
  <si>
    <t>Catalogue / API / files</t>
  </si>
  <si>
    <t>Prior workbook indicates metadata and table API paths; downloadable microdata access may be gated</t>
  </si>
  <si>
    <t>Metadata/API route / verify licence</t>
  </si>
  <si>
    <t>API/table pull if permitted</t>
  </si>
  <si>
    <t>Validate target states and date freshness; keep access limitations documented.</t>
  </si>
  <si>
    <t>FAO GIEWS FPMA</t>
  </si>
  <si>
    <t>Domestic staple food prices where country/commodity series exist</t>
  </si>
  <si>
    <t>https://www.fao.org/giews/food-prices/en/</t>
  </si>
  <si>
    <t>Portal / database</t>
  </si>
  <si>
    <t>Global tool confirmed; target commodities, locations, and extraction route require checking</t>
  </si>
  <si>
    <t>Open / coverage pending</t>
  </si>
  <si>
    <t>API/export if documented</t>
  </si>
  <si>
    <t>Supplementary source; do not assume it covers every target state.</t>
  </si>
  <si>
    <t>G4</t>
  </si>
  <si>
    <t>Avocado and banana farmers / exporters</t>
  </si>
  <si>
    <t>KNBS Economic Survey 2026</t>
  </si>
  <si>
    <t>Production, area, yields and selected agriculture statistics; prices only where reported</t>
  </si>
  <si>
    <t>https://www.knbs.or.ke/wp-content/uploads/2026/04/2026-Economic-Survey.pdf</t>
  </si>
  <si>
    <t>PDF/report</t>
  </si>
  <si>
    <t>Direct PDF URL in project plan; table/page values still to be extracted and verified</t>
  </si>
  <si>
    <t>Public PDF / verify current reachability</t>
  </si>
  <si>
    <t>PDF table extraction</t>
  </si>
  <si>
    <t>Record table/page, reference year, unit, geography and crop.</t>
  </si>
  <si>
    <t>Agriculture and Food Authority Yearbook 2025</t>
  </si>
  <si>
    <t>Horticultural production and export volumes/values where reported</t>
  </si>
  <si>
    <t>https://www.afa.go.ke/wp-content/uploads/2025/08/New-Yearbook-25_.pdf</t>
  </si>
  <si>
    <t>Direct PDF URL in project plan; crop-specific tables need extraction</t>
  </si>
  <si>
    <t>Export value divided by volume is an implied export unit value, not farmgate price.</t>
  </si>
  <si>
    <t>AFA Yearbook 2024</t>
  </si>
  <si>
    <t>Historical comparison for horticultural production/export statistics</t>
  </si>
  <si>
    <t>https://www.afa.go.ke/download/2044/</t>
  </si>
  <si>
    <t>PDF/report/download page</t>
  </si>
  <si>
    <t>URL in project plan; confirm final file and table structure</t>
  </si>
  <si>
    <t>Public / verify download</t>
  </si>
  <si>
    <t>Preserve year, crop category, units and whether banana is separately reported.</t>
  </si>
  <si>
    <t>Market-level prices, commodity and market location if present</t>
  </si>
  <si>
    <t>https://kamis.kilimo.go.ke/</t>
  </si>
  <si>
    <t>Web portal</t>
  </si>
  <si>
    <t>Portal identified; no API claim made; verify historical export, avocado/banana coverage, units and terms</t>
  </si>
  <si>
    <t>Open portal / access validation pending</t>
  </si>
  <si>
    <t>API or file ingestion only if supported</t>
  </si>
  <si>
    <t>Do not scrape HTML or mark API available without evidence.</t>
  </si>
  <si>
    <t>FAOSTAT production/trade/producer prices</t>
  </si>
  <si>
    <t>Cross-country production, harvested area, yield, trade and producer price series</t>
  </si>
  <si>
    <t>Portal confirmed; Kenya crop-series availability and definitions still need validation</t>
  </si>
  <si>
    <t>Use as harmonized cross-country benchmark, not a replacement for Kenya-specific export detail.</t>
  </si>
  <si>
    <t>Global</t>
  </si>
  <si>
    <t>Multi-country</t>
  </si>
  <si>
    <t>Global benchmark layer</t>
  </si>
  <si>
    <t>World Bank Commodity Markets Pink Sheet</t>
  </si>
  <si>
    <t>Monthly international benchmark prices by commodity</t>
  </si>
  <si>
    <t>XLSX monthly workbook</t>
  </si>
  <si>
    <t>Project workbook records a successful XLSX sample pull; current data vintage should be refreshed before ingestion</t>
  </si>
  <si>
    <t>Public / direct XLSX in source workbook</t>
  </si>
  <si>
    <t>Benchmark prices are not local physical market prices.</t>
  </si>
  <si>
    <t>FAOSTAT API and bulk downloads</t>
  </si>
  <si>
    <t>Production, harvested area, yield, trade and producer-price datasets</t>
  </si>
  <si>
    <t>API / bulk downloads</t>
  </si>
  <si>
    <t>FAOSTAT official portal and API availability confirmed in current web research; dataset-specific query still needed</t>
  </si>
  <si>
    <t>Choose specific domains and store release/update metadata.</t>
  </si>
  <si>
    <t>Domestic staple food prices and international series where available</t>
  </si>
  <si>
    <t>Web tool/database</t>
  </si>
  <si>
    <t>Official FAO price-data pages confirm FPMA provides domestic and international price information; series-level coverage still needs checking</t>
  </si>
  <si>
    <t>Open / series-level validation pending</t>
  </si>
  <si>
    <t>Use documented export/API if available</t>
  </si>
  <si>
    <t>Use as a source registry lead; verify exact extract method before coding.</t>
  </si>
  <si>
    <t>World Bank Real-Time Food Prices datasets</t>
  </si>
  <si>
    <t>Cross-country market-price panels where accessible</t>
  </si>
  <si>
    <t>https://microdata.worldbank.org/</t>
  </si>
  <si>
    <t>Catalogue/API</t>
  </si>
  <si>
    <t>Prior workbook contains successful table API sample; catalogue/file access and licences differ by dataset</t>
  </si>
  <si>
    <t>Mixed / validate per dataset</t>
  </si>
  <si>
    <t>API/table pull or approved file</t>
  </si>
  <si>
    <t>Do not treat catalogue metadata as proof the full microdata file is downloadable.</t>
  </si>
  <si>
    <t>Live financial/futures benchmark (later phase)</t>
  </si>
  <si>
    <t>API-Ninjas Commodity Price</t>
  </si>
  <si>
    <t>Live commodity/financial prices for supported symbols</t>
  </si>
  <si>
    <t>https://api-ninjas.com/api/commodityprice</t>
  </si>
  <si>
    <t>API</t>
  </si>
  <si>
    <t>Later</t>
  </si>
  <si>
    <t>Prior source workbook returned AUTH_REQUIRED without a key; no unauthenticated access claimed</t>
  </si>
  <si>
    <t>API key required</t>
  </si>
  <si>
    <t>API connector after credential and licence review</t>
  </si>
  <si>
    <t>Only use if live futures are genuinely required; not needed for monthly staple prices.</t>
  </si>
  <si>
    <t>Twelve Data commodities</t>
  </si>
  <si>
    <t>Financial commodity series for supported symbols</t>
  </si>
  <si>
    <t>https://twelvedata.com/</t>
  </si>
  <si>
    <t>Prior source workbook found demo catalogue but price request required a valid key</t>
  </si>
  <si>
    <t>API key / plan dependent</t>
  </si>
  <si>
    <t>API connector after entitlement review</t>
  </si>
  <si>
    <t>Check symbol mapping, price semantics, limits and licence.</t>
  </si>
  <si>
    <t>Tradeable commodity / physical exchange benchmark</t>
  </si>
  <si>
    <t>AFEX XIP</t>
  </si>
  <si>
    <t>Exchange/market information for covered Nigerian commodities</t>
  </si>
  <si>
    <t>https://xip.afex.africa/</t>
  </si>
  <si>
    <t>Portal / account-dependent</t>
  </si>
  <si>
    <t>Prior workbook indicates portal reachable but paid/account access may apply; no ingestion-ready API established</t>
  </si>
  <si>
    <t>Access/paid validation pending</t>
  </si>
  <si>
    <t>Only after access and terms review</t>
  </si>
  <si>
    <t>Do not block baseline pipeline on niche commodities such as sesame.</t>
  </si>
  <si>
    <t>ID</t>
  </si>
  <si>
    <t>Geography</t>
  </si>
  <si>
    <t>Partner / audience</t>
  </si>
  <si>
    <t>Required data</t>
  </si>
  <si>
    <t>Priority source set</t>
  </si>
  <si>
    <t>Initial access method</t>
  </si>
  <si>
    <t>Acceptance notes</t>
  </si>
  <si>
    <t>KwaZulu-Natal, South Africa</t>
  </si>
  <si>
    <t>Vegetable farmers</t>
  </si>
  <si>
    <t>Vegetable production/area; available producer prices; relevant provincial/crop breakdowns</t>
  </si>
  <si>
    <t>Stats SA Agricultural Survey; FAOSTAT producer prices; fresh-produce market stats as contextual data</t>
  </si>
  <si>
    <t>Historical reports / API / XLSX</t>
  </si>
  <si>
    <t>Separate producer/farmgate measures from wholesale market observations. Verify crop and province coverage before accepting a source.</t>
  </si>
  <si>
    <t>Gauteng, South Africa</t>
  </si>
  <si>
    <t>Vegetable traders</t>
  </si>
  <si>
    <t>Wholesale prices, mass/quantity sold, sales value and market-level trends</t>
  </si>
  <si>
    <t>Stats on Fresh Produce Markets 2024 XLSX; archive; Joburg Market daily prices</t>
  </si>
  <si>
    <t>XLSX first, portal validation second</t>
  </si>
  <si>
    <t>Preferred MVP: parse the official XLSX into long format; preserve metric definitions and market IDs/names.</t>
  </si>
  <si>
    <t>Abuja/FCT, Edo, Benue, Delta, Nigeria</t>
  </si>
  <si>
    <t>Farmers / market stakeholders</t>
  </si>
  <si>
    <t>Food prices by commodity, market, date, unit, currency and price type; target-state coverage</t>
  </si>
  <si>
    <t>WFP/HDX CSV; NBS Selected Food Price Watch; World Bank RTPF; FAO FPMA as supplement</t>
  </si>
  <si>
    <t>CSV/XLSX/API depending on source</t>
  </si>
  <si>
    <t>State-by-state coverage matrix required. Do not infer target-state availability from national dataset title.</t>
  </si>
  <si>
    <t>Avocado and banana farmers/exporters</t>
  </si>
  <si>
    <t>Production, harvested area, yields, export volumes/values and market prices if available</t>
  </si>
  <si>
    <t>KNBS Economic Survey 2026; AFA Yearbooks 2025/2024; KAMIS; FAOSTAT</t>
  </si>
  <si>
    <t>PDF table extraction + portal validation + API/bulk</t>
  </si>
  <si>
    <t>Export stats are not farmgate prices. Validate whether banana and avocado are separately reported and at what geography.</t>
  </si>
  <si>
    <t>Global benchmarks</t>
  </si>
  <si>
    <t>Cross-country comparisons / reference prices</t>
  </si>
  <si>
    <t>Monthly international benchmark prices, production/trade context and selected price series</t>
  </si>
  <si>
    <t>World Bank Pink Sheet; FAOSTAT; FAO FPMA; World Bank RTPF</t>
  </si>
  <si>
    <t>XLSX + API/bulk + source-specific tables</t>
  </si>
  <si>
    <t>Keep benchmark, physical wholesale, retail, producer and export unit values in separate measure classes.</t>
  </si>
  <si>
    <t>Task</t>
  </si>
  <si>
    <t>Deliverable / exit criteria</t>
  </si>
  <si>
    <t>Status</t>
  </si>
  <si>
    <t>Owner</t>
  </si>
  <si>
    <t>P0</t>
  </si>
  <si>
    <t>Scope and credentials</t>
  </si>
  <si>
    <t>Confirm GCP project, Cloud Storage bucket, BigQuery dataset, service account, secrets handling, billing and target users</t>
  </si>
  <si>
    <t>Environment checklist + access owner list</t>
  </si>
  <si>
    <t>P1</t>
  </si>
  <si>
    <t>South Africa XLSX MVP</t>
  </si>
  <si>
    <t>Download and profile Statistics on Fresh Produce Markets 2024 workbook; inventory sheets/headers; identify market, commodity, period, sales quantity/value and price fields</t>
  </si>
  <si>
    <t>Source profile, raw file, parsing notebook/script, Bronze table</t>
  </si>
  <si>
    <t>Do not assume one worksheet layout; inspect workbook before coding.</t>
  </si>
  <si>
    <t>P2</t>
  </si>
  <si>
    <t>Nigeria WFP/HDX CSV</t>
  </si>
  <si>
    <t>Pull current CSV; inspect dates/markets/admin1/commodity/unit/price type; test Abuja/FCT, Edo, Benue and Delta separately; quantify stale series</t>
  </si>
  <si>
    <t>Source snapshot + state coverage report + Bronze table</t>
  </si>
  <si>
    <t>Source snapshot indicates some commodity series can be stale; preserve observation date and freshness flags.</t>
  </si>
  <si>
    <t>P3</t>
  </si>
  <si>
    <t>Kenya annual statistics</t>
  </si>
  <si>
    <t>Download KNBS and AFA reports; record exact page/table, crop, year, units and geography; extract avocado/banana data</t>
  </si>
  <si>
    <t>Traceable annual fact tables and source-page metadata</t>
  </si>
  <si>
    <t>Keep exports, production, and price metrics distinct.</t>
  </si>
  <si>
    <t>P4</t>
  </si>
  <si>
    <t>KAMIS access gate</t>
  </si>
  <si>
    <t>Test search/filter, historical data, avocado/banana coverage, units, downloadable files/API, terms and latest observation</t>
  </si>
  <si>
    <t>Access decision record and sample extract if permitted</t>
  </si>
  <si>
    <t>Do not claim API or scrape the portal without evidence and terms review.</t>
  </si>
  <si>
    <t>P5</t>
  </si>
  <si>
    <t>Load World Bank Pink Sheet monthly XLSX and selected FAOSTAT domains; retain release/version metadata</t>
  </si>
  <si>
    <t>Benchmark tables in Bronze/Silver</t>
  </si>
  <si>
    <t>P6</t>
  </si>
  <si>
    <t>OpenTrace source verification</t>
  </si>
  <si>
    <t>For each of 270 candidate slots, verify direct endpoint, country/commodity coverage, latest date, frequency, units, access/licence and sample extraction</t>
  </si>
  <si>
    <t>Evidence-backed 54-country tracker; mark genuine gaps explicitly</t>
  </si>
  <si>
    <t>The five slots are candidates, not an instruction to invent five usable feeds when fewer exist.</t>
  </si>
  <si>
    <t>P7</t>
  </si>
  <si>
    <t>Canonical data model</t>
  </si>
  <si>
    <t>Define price observation, production observation, trade observation, market sales observation; source ID, geography, commodity IDs, units, currencies, date semantics</t>
  </si>
  <si>
    <t>Schema and mapping tables</t>
  </si>
  <si>
    <t>Avoid mixing local currency/units or price stages without explicit conversion metadata.</t>
  </si>
  <si>
    <t>P8</t>
  </si>
  <si>
    <t>Quality and operations</t>
  </si>
  <si>
    <t>Add idempotency, source freshness checks, schema drift alerts, duplicate handling, row counts, parse failures and run logs</t>
  </si>
  <si>
    <t>Repeatable scheduled ingestion + monitoring</t>
  </si>
  <si>
    <t>Keep raw source files immutable in landing storage.</t>
  </si>
  <si>
    <t>P9</t>
  </si>
  <si>
    <t>Gold outputs and handover</t>
  </si>
  <si>
    <t>Create partner-specific views, data dictionary, source lineage, known gaps and refresh schedule</t>
  </si>
  <si>
    <t>Consumer-ready views + runbook</t>
  </si>
  <si>
    <t>Only expose measures that pass the source/quality acceptance criteria.</t>
  </si>
  <si>
    <t>Evidence date</t>
  </si>
  <si>
    <t>Source / claim</t>
  </si>
  <si>
    <t>URL</t>
  </si>
  <si>
    <t>What the evidence supports</t>
  </si>
  <si>
    <t>Evidence basis</t>
  </si>
  <si>
    <t>Verification status</t>
  </si>
  <si>
    <t>Limitations</t>
  </si>
  <si>
    <t>2026-10-19</t>
  </si>
  <si>
    <t>FAO prices overview</t>
  </si>
  <si>
    <t>https://www.fao.org/prices/en</t>
  </si>
  <si>
    <t>FAO describes domestic producer prices and consumer price indices from FAOSTAT, plus wholesale/retail prices from FPMA and international prices/indices.</t>
  </si>
  <si>
    <t>Official FAO prices overview found in current web search.</t>
  </si>
  <si>
    <t>Verified at overview level; not country/crop-specific.</t>
  </si>
  <si>
    <t>Does not prove every African country has every commodity/market series.</t>
  </si>
  <si>
    <t>FAOSTAT portal</t>
  </si>
  <si>
    <t>https://faostat.fao.org/</t>
  </si>
  <si>
    <t>FAOSTAT says it provides free agriculture data for over 245 countries and territories and has an API developer portal and bulk downloads; producer prices had a database update shown for 2026-10-09.</t>
  </si>
  <si>
    <t>Official FAOSTAT portal found in current web search.</t>
  </si>
  <si>
    <t>Verified at portal level; individual dataset queries still required.</t>
  </si>
  <si>
    <t>Country coverage is not equivalent to price coverage for a specific crop and frequency.</t>
  </si>
  <si>
    <t>FAO FPMA page</t>
  </si>
  <si>
    <t>FAO describes FPMA as domestic food price information and lists coverage of over 90 countries in the price overview.</t>
  </si>
  <si>
    <t>Official FAO page found in current web search.</t>
  </si>
  <si>
    <t>Verified at overview level; source-specific extract method pending.</t>
  </si>
  <si>
    <t>Do not claim API availability without confirming documented access.</t>
  </si>
  <si>
    <t>Farm Lover source workbook</t>
  </si>
  <si>
    <t>The provided Farm Lover workbook records a previous successful CSV sample pull for WFP Nigeria food prices and a prior sample for the World Bank Pink Sheet XLSX.</t>
  </si>
  <si>
    <t>Evidence recorded in supplied workbook; not freshly re-pulled in this pass.</t>
  </si>
  <si>
    <t>Previously sample-pulled per supplied workbook; current run/target state freshness pending.</t>
  </si>
  <si>
    <t>Verify resource still live and target-state coverage before production ingestion.</t>
  </si>
  <si>
    <t>OpenTrace tracker status</t>
  </si>
  <si>
    <t>Existing tracker workbook contains 54 country groups × five ranked candidate source slots; its own notes repeatedly call for coverage/access verification.</t>
  </si>
  <si>
    <t>Existing spreadsheet inspected.</t>
  </si>
  <si>
    <t>Candidate coverage scaffold exists; not 270 verified feeds.</t>
  </si>
  <si>
    <t>Blank Last Checked fields are intentional until each exact row is checked.</t>
  </si>
  <si>
    <t xml:space="preserve">Daniel </t>
  </si>
  <si>
    <t>Paid. I am not paying for live API until a live series is a stated requirement.</t>
  </si>
  <si>
    <t xml:space="preserve">Partaily confimed </t>
  </si>
  <si>
    <t>Date</t>
  </si>
  <si>
    <t>Start from the source code to ground up and Cloud</t>
  </si>
  <si>
    <t xml:space="preserve">Intiaited postive progress </t>
  </si>
  <si>
    <t>Project setup (Source code level)</t>
  </si>
  <si>
    <t>Cloud level</t>
  </si>
  <si>
    <t>Project Source</t>
  </si>
  <si>
    <t>P10</t>
  </si>
  <si>
    <t>Facts/Claims</t>
  </si>
  <si>
    <t>All 270 OpenTrace rows are not 270 verified, accessible live feeds. Many country-level portals still need direct table/file/API validation. Statuses are deliberately conservative. ( We need to verify as we work along)</t>
  </si>
  <si>
    <t>Farm Lover Team Focuse</t>
  </si>
  <si>
    <t>Important source distinction/Requirments?</t>
  </si>
  <si>
    <t xml:space="preserve">In progress to alaing with this implemetion plan.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</si>
</sst>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%;\-0%;\-"/>
    <numFmt numFmtId="165" formatCode="yyyy\-mm\-dd"/>
  </numFmts>
  <fonts count="28" x14ac:knownFonts="1">
    <font>
      <sz val="11"/>
      <color theme="1"/>
      <name val="Calibri"/>
      <family val="2"/>
      <charset val="1"/>
    </font>
    <font>
      <sz val="11"/>
      <name val="Calibri"/>
      <charset val="1"/>
    </font>
    <font>
      <b/>
      <sz val="14"/>
      <color rgb="FF0B5132"/>
      <name val="Georgia"/>
      <charset val="1"/>
    </font>
    <font>
      <i/>
      <sz val="10"/>
      <color rgb="FF555555"/>
      <name val="Calibri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b/>
      <sz val="12"/>
      <color rgb="FF0B5132"/>
      <name val="Calibri"/>
      <charset val="1"/>
    </font>
    <font>
      <sz val="10"/>
      <color rgb="FF000000"/>
      <name val="Calibri"/>
      <charset val="1"/>
    </font>
    <font>
      <b/>
      <sz val="10"/>
      <color rgb="FFFFFFFF"/>
      <name val="Calibri"/>
      <charset val="1"/>
    </font>
    <font>
      <b/>
      <sz val="18"/>
      <color rgb="FF0B5132"/>
      <name val="Garamond"/>
      <family val="1"/>
    </font>
    <font>
      <sz val="11"/>
      <color theme="1"/>
      <name val="Garamond"/>
      <family val="1"/>
    </font>
    <font>
      <i/>
      <sz val="11"/>
      <color rgb="FF555555"/>
      <name val="Garamond"/>
      <family val="1"/>
    </font>
    <font>
      <b/>
      <sz val="13"/>
      <color rgb="FF0B5132"/>
      <name val="Garamond"/>
      <family val="1"/>
    </font>
    <font>
      <b/>
      <sz val="11"/>
      <name val="Garamond"/>
      <family val="1"/>
    </font>
    <font>
      <sz val="11"/>
      <name val="Garamond"/>
      <family val="1"/>
    </font>
    <font>
      <b/>
      <sz val="10"/>
      <color rgb="FF555555"/>
      <name val="Garamond"/>
      <family val="1"/>
    </font>
    <font>
      <sz val="10"/>
      <color rgb="FF555555"/>
      <name val="Garamond"/>
      <family val="1"/>
    </font>
    <font>
      <b/>
      <sz val="14"/>
      <color rgb="FF0B5132"/>
      <name val="Garamond"/>
      <family val="1"/>
    </font>
    <font>
      <i/>
      <sz val="10"/>
      <color rgb="FF555555"/>
      <name val="Garamond"/>
      <family val="1"/>
    </font>
    <font>
      <sz val="10"/>
      <name val="Garamond"/>
      <family val="1"/>
    </font>
    <font>
      <b/>
      <sz val="10"/>
      <name val="Garamond"/>
      <family val="1"/>
    </font>
    <font>
      <b/>
      <sz val="11"/>
      <color rgb="FFFFFFFF"/>
      <name val="Calibri"/>
    </font>
    <font>
      <sz val="11"/>
      <color theme="2"/>
      <name val="Calibri"/>
      <family val="2"/>
      <charset val="1"/>
    </font>
    <font>
      <b/>
      <sz val="11"/>
      <color rgb="FFFFFFFF"/>
      <name val="Calibri"/>
      <family val="2"/>
    </font>
    <font>
      <sz val="8"/>
      <name val="Calibri"/>
      <family val="2"/>
      <charset val="1"/>
    </font>
    <font>
      <b/>
      <sz val="11"/>
      <color theme="5"/>
      <name val="Calibri"/>
      <family val="2"/>
    </font>
    <font>
      <b/>
      <sz val="11"/>
      <color theme="1"/>
      <name val="Calibri"/>
      <family val="2"/>
    </font>
    <font>
      <sz val="11"/>
      <color rgb="FFFFFF0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0B5132"/>
        <bgColor rgb="FF003366"/>
      </patternFill>
    </fill>
    <fill>
      <patternFill patternType="solid">
        <fgColor rgb="FFF7F1DE"/>
        <bgColor rgb="FFEDEDED"/>
      </patternFill>
    </fill>
    <fill>
      <patternFill patternType="solid">
        <fgColor rgb="FFFFFFFF"/>
        <bgColor rgb="FFF7F1DE"/>
      </patternFill>
    </fill>
    <fill>
      <patternFill patternType="solid">
        <fgColor rgb="FF5DA959"/>
        <bgColor rgb="FF808080"/>
      </patternFill>
    </fill>
    <fill>
      <patternFill patternType="solid">
        <fgColor rgb="FF1F4E78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rgb="FFD9D2BC"/>
      </left>
      <right style="thin">
        <color rgb="FFD9D2BC"/>
      </right>
      <top style="thin">
        <color rgb="FFD9D2BC"/>
      </top>
      <bottom style="thin">
        <color rgb="FFD9D2BC"/>
      </bottom>
      <diagonal/>
    </border>
    <border>
      <left style="thin">
        <color rgb="FFD9D2BC"/>
      </left>
      <right style="thin">
        <color rgb="FFD9D2BC"/>
      </right>
      <top style="thin">
        <color rgb="FFD9D2BC"/>
      </top>
      <bottom style="medium">
        <color rgb="FF5DA959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3" borderId="1" xfId="0" applyFont="1" applyFill="1" applyBorder="1"/>
    <xf numFmtId="0" fontId="7" fillId="3" borderId="1" xfId="0" applyFont="1" applyFill="1" applyBorder="1" applyAlignment="1">
      <alignment horizontal="center"/>
    </xf>
    <xf numFmtId="164" fontId="7" fillId="3" borderId="1" xfId="0" applyNumberFormat="1" applyFont="1" applyFill="1" applyBorder="1" applyAlignment="1">
      <alignment horizontal="center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center"/>
    </xf>
    <xf numFmtId="164" fontId="7" fillId="4" borderId="1" xfId="0" applyNumberFormat="1" applyFont="1" applyFill="1" applyBorder="1" applyAlignment="1">
      <alignment horizontal="center"/>
    </xf>
    <xf numFmtId="0" fontId="8" fillId="5" borderId="1" xfId="0" applyFont="1" applyFill="1" applyBorder="1"/>
    <xf numFmtId="0" fontId="8" fillId="5" borderId="1" xfId="0" applyFont="1" applyFill="1" applyBorder="1" applyAlignment="1">
      <alignment horizontal="center"/>
    </xf>
    <xf numFmtId="164" fontId="8" fillId="5" borderId="1" xfId="0" applyNumberFormat="1" applyFont="1" applyFill="1" applyBorder="1" applyAlignment="1">
      <alignment horizontal="center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165" fontId="5" fillId="3" borderId="1" xfId="0" applyNumberFormat="1" applyFont="1" applyFill="1" applyBorder="1" applyAlignment="1">
      <alignment horizontal="center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164" fontId="5" fillId="4" borderId="1" xfId="0" applyNumberFormat="1" applyFont="1" applyFill="1" applyBorder="1" applyAlignment="1">
      <alignment horizontal="center"/>
    </xf>
    <xf numFmtId="165" fontId="5" fillId="4" borderId="1" xfId="0" applyNumberFormat="1" applyFont="1" applyFill="1" applyBorder="1" applyAlignment="1">
      <alignment horizontal="center"/>
    </xf>
    <xf numFmtId="0" fontId="4" fillId="2" borderId="0" xfId="0" applyFont="1" applyFill="1"/>
    <xf numFmtId="0" fontId="1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vertical="top"/>
    </xf>
    <xf numFmtId="0" fontId="14" fillId="0" borderId="0" xfId="0" applyFont="1" applyAlignment="1">
      <alignment vertical="top" wrapText="1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21" fillId="6" borderId="0" xfId="0" applyFont="1" applyFill="1"/>
    <xf numFmtId="0" fontId="0" fillId="0" borderId="0" xfId="0" applyAlignment="1">
      <alignment vertical="top" wrapText="1"/>
    </xf>
    <xf numFmtId="0" fontId="21" fillId="6" borderId="1" xfId="0" applyFont="1" applyFill="1" applyBorder="1" applyAlignment="1">
      <alignment vertical="center" wrapText="1"/>
    </xf>
    <xf numFmtId="0" fontId="21" fillId="6" borderId="0" xfId="0" applyFont="1" applyFill="1" applyAlignment="1">
      <alignment vertical="center" wrapText="1"/>
    </xf>
    <xf numFmtId="0" fontId="19" fillId="3" borderId="1" xfId="0" applyFont="1" applyFill="1" applyBorder="1" applyAlignment="1">
      <alignment vertical="top" wrapText="1"/>
    </xf>
    <xf numFmtId="0" fontId="20" fillId="3" borderId="1" xfId="0" applyFont="1" applyFill="1" applyBorder="1" applyAlignment="1">
      <alignment vertical="top" wrapText="1"/>
    </xf>
    <xf numFmtId="165" fontId="19" fillId="3" borderId="1" xfId="0" applyNumberFormat="1" applyFont="1" applyFill="1" applyBorder="1" applyAlignment="1">
      <alignment vertical="top" wrapText="1"/>
    </xf>
    <xf numFmtId="0" fontId="19" fillId="3" borderId="2" xfId="0" applyFont="1" applyFill="1" applyBorder="1" applyAlignment="1">
      <alignment vertical="top" wrapText="1"/>
    </xf>
    <xf numFmtId="165" fontId="19" fillId="3" borderId="2" xfId="0" applyNumberFormat="1" applyFont="1" applyFill="1" applyBorder="1" applyAlignment="1">
      <alignment vertical="top" wrapText="1"/>
    </xf>
    <xf numFmtId="0" fontId="19" fillId="4" borderId="1" xfId="0" applyFont="1" applyFill="1" applyBorder="1" applyAlignment="1">
      <alignment vertical="top" wrapText="1"/>
    </xf>
    <xf numFmtId="0" fontId="20" fillId="4" borderId="1" xfId="0" applyFont="1" applyFill="1" applyBorder="1" applyAlignment="1">
      <alignment vertical="top" wrapText="1"/>
    </xf>
    <xf numFmtId="165" fontId="19" fillId="4" borderId="1" xfId="0" applyNumberFormat="1" applyFont="1" applyFill="1" applyBorder="1" applyAlignment="1">
      <alignment vertical="top" wrapText="1"/>
    </xf>
    <xf numFmtId="0" fontId="19" fillId="4" borderId="2" xfId="0" applyFont="1" applyFill="1" applyBorder="1" applyAlignment="1">
      <alignment vertical="top" wrapText="1"/>
    </xf>
    <xf numFmtId="165" fontId="19" fillId="4" borderId="2" xfId="0" applyNumberFormat="1" applyFont="1" applyFill="1" applyBorder="1" applyAlignment="1">
      <alignment vertical="top" wrapText="1"/>
    </xf>
    <xf numFmtId="0" fontId="22" fillId="7" borderId="0" xfId="0" applyFont="1" applyFill="1" applyAlignment="1">
      <alignment vertical="top" wrapText="1"/>
    </xf>
    <xf numFmtId="0" fontId="22" fillId="7" borderId="0" xfId="0" applyFont="1" applyFill="1"/>
    <xf numFmtId="0" fontId="23" fillId="6" borderId="0" xfId="0" applyFont="1" applyFill="1" applyAlignment="1">
      <alignment vertical="center" wrapText="1"/>
    </xf>
    <xf numFmtId="0" fontId="22" fillId="8" borderId="0" xfId="0" applyFont="1" applyFill="1" applyAlignment="1">
      <alignment vertical="top" wrapText="1"/>
    </xf>
    <xf numFmtId="0" fontId="22" fillId="8" borderId="0" xfId="0" applyFont="1" applyFill="1"/>
    <xf numFmtId="0" fontId="25" fillId="0" borderId="0" xfId="0" applyFont="1" applyAlignment="1">
      <alignment vertical="top" wrapText="1"/>
    </xf>
    <xf numFmtId="0" fontId="26" fillId="0" borderId="0" xfId="0" applyFont="1" applyAlignment="1">
      <alignment vertical="top" wrapText="1"/>
    </xf>
    <xf numFmtId="0" fontId="25" fillId="9" borderId="0" xfId="0" applyFont="1" applyFill="1" applyAlignment="1">
      <alignment vertical="top" wrapText="1"/>
    </xf>
    <xf numFmtId="0" fontId="27" fillId="10" borderId="0" xfId="0" applyFont="1" applyFill="1" applyAlignment="1">
      <alignment vertical="top" wrapText="1"/>
    </xf>
    <xf numFmtId="0" fontId="27" fillId="10" borderId="0" xfId="0" applyFont="1" applyFill="1"/>
    <xf numFmtId="0" fontId="26" fillId="0" borderId="0" xfId="0" applyFont="1"/>
  </cellXfs>
  <cellStyles count="1">
    <cellStyle name="Normal" xfId="0" builtinId="0"/>
  </cellStyles>
  <dxfs count="13">
    <dxf>
      <font>
        <b/>
        <color rgb="FFC0392B"/>
      </font>
    </dxf>
    <dxf>
      <fill>
        <patternFill>
          <bgColor rgb="FFD6E9C9"/>
        </patternFill>
      </fill>
    </dxf>
    <dxf>
      <font>
        <b/>
        <color rgb="FFC0392B"/>
      </font>
    </dxf>
    <dxf>
      <font>
        <b/>
        <color rgb="FF000000"/>
        <name val="Calibri"/>
        <charset val="1"/>
      </font>
      <fill>
        <patternFill>
          <bgColor rgb="FFF4D3CE"/>
        </patternFill>
      </fill>
    </dxf>
    <dxf>
      <font>
        <b/>
        <color rgb="FF000000"/>
        <name val="Calibri"/>
        <charset val="1"/>
      </font>
      <fill>
        <patternFill>
          <bgColor rgb="FFFCE8A6"/>
        </patternFill>
      </fill>
    </dxf>
    <dxf>
      <font>
        <b/>
        <color rgb="FFFFFFFF"/>
        <name val="Calibri"/>
        <charset val="1"/>
      </font>
      <fill>
        <patternFill>
          <bgColor rgb="FF5DA959"/>
        </patternFill>
      </fill>
    </dxf>
    <dxf>
      <font>
        <b/>
        <color rgb="FF000000"/>
        <name val="Calibri"/>
        <charset val="1"/>
      </font>
      <fill>
        <patternFill>
          <bgColor rgb="FFEDEDED"/>
        </patternFill>
      </fill>
    </dxf>
    <dxf>
      <font>
        <b/>
        <color rgb="FF000000"/>
        <name val="Calibri"/>
        <charset val="1"/>
      </font>
      <fill>
        <patternFill>
          <bgColor rgb="FFD6E9C9"/>
        </patternFill>
      </fill>
    </dxf>
    <dxf>
      <font>
        <b/>
        <color rgb="FFFFFFFF"/>
        <name val="Calibri"/>
        <charset val="1"/>
      </font>
      <fill>
        <patternFill>
          <bgColor rgb="FF5DA959"/>
        </patternFill>
      </fill>
    </dxf>
    <dxf>
      <font>
        <b/>
        <color rgb="FF000000"/>
        <name val="Calibri"/>
        <charset val="1"/>
      </font>
      <fill>
        <patternFill>
          <bgColor rgb="FFD6E9C9"/>
        </patternFill>
      </fill>
    </dxf>
    <dxf>
      <font>
        <b/>
        <color rgb="FF000000"/>
        <name val="Calibri"/>
        <charset val="1"/>
      </font>
      <fill>
        <patternFill>
          <bgColor rgb="FFF4D3CE"/>
        </patternFill>
      </fill>
    </dxf>
    <dxf>
      <font>
        <b/>
        <color rgb="FF000000"/>
        <name val="Calibri"/>
        <charset val="1"/>
      </font>
      <fill>
        <patternFill>
          <bgColor rgb="FF88B9E8"/>
        </patternFill>
      </fill>
    </dxf>
    <dxf>
      <font>
        <b/>
        <color rgb="FFFFFFFF"/>
        <name val="Calibri"/>
        <charset val="1"/>
      </font>
      <fill>
        <patternFill>
          <bgColor rgb="FF5DA95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7F1DE"/>
      <rgbColor rgb="FFEDEDED"/>
      <rgbColor rgb="FF660066"/>
      <rgbColor rgb="FFFF8080"/>
      <rgbColor rgb="FF0066CC"/>
      <rgbColor rgb="FFD9D2B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9C9"/>
      <rgbColor rgb="FFFCE8A6"/>
      <rgbColor rgb="FF88B9E8"/>
      <rgbColor rgb="FFFF99CC"/>
      <rgbColor rgb="FFCC99FF"/>
      <rgbColor rgb="FFF4D3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5DA959"/>
      <rgbColor rgb="FF0B5132"/>
      <rgbColor rgb="FF333300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7F1DE"/>
  </sheetPr>
  <dimension ref="B2:C43"/>
  <sheetViews>
    <sheetView showGridLines="0" topLeftCell="A15" zoomScaleNormal="100" workbookViewId="0"/>
  </sheetViews>
  <sheetFormatPr defaultColWidth="8.6328125" defaultRowHeight="14.5" x14ac:dyDescent="0.35"/>
  <cols>
    <col min="1" max="1" width="3" style="25" customWidth="1"/>
    <col min="2" max="2" width="34" style="25" customWidth="1"/>
    <col min="3" max="3" width="110" style="25" customWidth="1"/>
    <col min="4" max="4" width="3" style="25" customWidth="1"/>
    <col min="5" max="5" width="8.6328125" style="25" customWidth="1"/>
    <col min="6" max="16384" width="8.6328125" style="25"/>
  </cols>
  <sheetData>
    <row r="2" spans="2:3" ht="23.25" customHeight="1" x14ac:dyDescent="0.5">
      <c r="B2" s="24" t="s">
        <v>12</v>
      </c>
    </row>
    <row r="3" spans="2:3" x14ac:dyDescent="0.35">
      <c r="B3" s="26" t="s">
        <v>13</v>
      </c>
    </row>
    <row r="5" spans="2:3" ht="16.899999999999999" customHeight="1" x14ac:dyDescent="0.4">
      <c r="B5" s="27" t="s">
        <v>14</v>
      </c>
    </row>
    <row r="6" spans="2:3" ht="18" customHeight="1" x14ac:dyDescent="0.35">
      <c r="B6" s="28" t="s">
        <v>15</v>
      </c>
      <c r="C6" s="29" t="s">
        <v>16</v>
      </c>
    </row>
    <row r="7" spans="2:3" ht="18" customHeight="1" x14ac:dyDescent="0.35">
      <c r="B7" s="28" t="s">
        <v>17</v>
      </c>
      <c r="C7" s="29" t="s">
        <v>18</v>
      </c>
    </row>
    <row r="8" spans="2:3" ht="18" customHeight="1" x14ac:dyDescent="0.35">
      <c r="B8" s="28" t="s">
        <v>19</v>
      </c>
      <c r="C8" s="29" t="s">
        <v>20</v>
      </c>
    </row>
    <row r="9" spans="2:3" ht="18" customHeight="1" x14ac:dyDescent="0.35">
      <c r="B9" s="28" t="s">
        <v>21</v>
      </c>
      <c r="C9" s="29" t="s">
        <v>22</v>
      </c>
    </row>
    <row r="10" spans="2:3" ht="18" customHeight="1" x14ac:dyDescent="0.35">
      <c r="B10" s="28" t="s">
        <v>23</v>
      </c>
      <c r="C10" s="29" t="s">
        <v>24</v>
      </c>
    </row>
    <row r="11" spans="2:3" ht="18" customHeight="1" x14ac:dyDescent="0.35">
      <c r="B11" s="28" t="s">
        <v>25</v>
      </c>
      <c r="C11" s="29" t="s">
        <v>26</v>
      </c>
    </row>
    <row r="12" spans="2:3" ht="18" customHeight="1" x14ac:dyDescent="0.35">
      <c r="B12" s="28" t="s">
        <v>27</v>
      </c>
      <c r="C12" s="29" t="s">
        <v>28</v>
      </c>
    </row>
    <row r="13" spans="2:3" ht="18" customHeight="1" x14ac:dyDescent="0.35"/>
    <row r="14" spans="2:3" ht="18" customHeight="1" x14ac:dyDescent="0.4">
      <c r="B14" s="27" t="s">
        <v>29</v>
      </c>
    </row>
    <row r="15" spans="2:3" ht="31.5" customHeight="1" x14ac:dyDescent="0.35">
      <c r="B15" s="28" t="s">
        <v>30</v>
      </c>
      <c r="C15" s="29" t="s">
        <v>31</v>
      </c>
    </row>
    <row r="16" spans="2:3" ht="31.5" customHeight="1" x14ac:dyDescent="0.35">
      <c r="B16" s="28" t="s">
        <v>32</v>
      </c>
      <c r="C16" s="29" t="s">
        <v>33</v>
      </c>
    </row>
    <row r="17" spans="2:3" ht="31.5" customHeight="1" x14ac:dyDescent="0.35">
      <c r="B17" s="28" t="s">
        <v>34</v>
      </c>
      <c r="C17" s="29" t="s">
        <v>35</v>
      </c>
    </row>
    <row r="18" spans="2:3" ht="31.5" customHeight="1" x14ac:dyDescent="0.35">
      <c r="B18" s="28" t="s">
        <v>36</v>
      </c>
      <c r="C18" s="29" t="s">
        <v>37</v>
      </c>
    </row>
    <row r="19" spans="2:3" ht="18" customHeight="1" x14ac:dyDescent="0.35"/>
    <row r="20" spans="2:3" ht="18" customHeight="1" x14ac:dyDescent="0.4">
      <c r="B20" s="27" t="s">
        <v>38</v>
      </c>
    </row>
    <row r="21" spans="2:3" ht="18" customHeight="1" x14ac:dyDescent="0.35">
      <c r="B21" s="30" t="s">
        <v>39</v>
      </c>
      <c r="C21" s="31" t="s">
        <v>40</v>
      </c>
    </row>
    <row r="22" spans="2:3" ht="18" customHeight="1" x14ac:dyDescent="0.35">
      <c r="B22" s="30" t="s">
        <v>41</v>
      </c>
      <c r="C22" s="31" t="s">
        <v>42</v>
      </c>
    </row>
    <row r="23" spans="2:3" ht="18" customHeight="1" x14ac:dyDescent="0.35">
      <c r="B23" s="30" t="s">
        <v>43</v>
      </c>
      <c r="C23" s="31">
        <v>1</v>
      </c>
    </row>
    <row r="24" spans="2:3" ht="18" customHeight="1" x14ac:dyDescent="0.35">
      <c r="B24" s="30" t="s">
        <v>44</v>
      </c>
      <c r="C24" s="31" t="s">
        <v>45</v>
      </c>
    </row>
    <row r="25" spans="2:3" ht="18" customHeight="1" x14ac:dyDescent="0.35">
      <c r="B25" s="30" t="s">
        <v>46</v>
      </c>
      <c r="C25" s="31" t="s">
        <v>47</v>
      </c>
    </row>
    <row r="26" spans="2:3" ht="18" customHeight="1" x14ac:dyDescent="0.35">
      <c r="B26" s="30" t="s">
        <v>19</v>
      </c>
      <c r="C26" s="31" t="s">
        <v>48</v>
      </c>
    </row>
    <row r="27" spans="2:3" ht="18" customHeight="1" x14ac:dyDescent="0.35">
      <c r="B27" s="30" t="s">
        <v>36</v>
      </c>
      <c r="C27" s="31" t="s">
        <v>49</v>
      </c>
    </row>
    <row r="28" spans="2:3" ht="18" customHeight="1" x14ac:dyDescent="0.35">
      <c r="B28" s="30" t="s">
        <v>50</v>
      </c>
      <c r="C28" s="31" t="s">
        <v>51</v>
      </c>
    </row>
    <row r="29" spans="2:3" ht="18" customHeight="1" x14ac:dyDescent="0.35">
      <c r="B29" s="30" t="s">
        <v>52</v>
      </c>
      <c r="C29" s="31" t="s">
        <v>53</v>
      </c>
    </row>
    <row r="30" spans="2:3" ht="18" customHeight="1" x14ac:dyDescent="0.35">
      <c r="B30" s="30" t="s">
        <v>54</v>
      </c>
      <c r="C30" s="31" t="s">
        <v>55</v>
      </c>
    </row>
    <row r="31" spans="2:3" ht="18" customHeight="1" x14ac:dyDescent="0.35">
      <c r="B31" s="30" t="s">
        <v>56</v>
      </c>
      <c r="C31" s="31" t="s">
        <v>57</v>
      </c>
    </row>
    <row r="32" spans="2:3" ht="18" customHeight="1" x14ac:dyDescent="0.35">
      <c r="B32" s="30" t="s">
        <v>30</v>
      </c>
      <c r="C32" s="31" t="s">
        <v>58</v>
      </c>
    </row>
    <row r="33" spans="2:3" ht="18" customHeight="1" x14ac:dyDescent="0.35">
      <c r="B33" s="30" t="s">
        <v>32</v>
      </c>
      <c r="C33" s="31" t="s">
        <v>59</v>
      </c>
    </row>
    <row r="34" spans="2:3" ht="18" customHeight="1" x14ac:dyDescent="0.35">
      <c r="B34" s="30" t="s">
        <v>34</v>
      </c>
      <c r="C34" s="31" t="s">
        <v>60</v>
      </c>
    </row>
    <row r="35" spans="2:3" ht="18" customHeight="1" x14ac:dyDescent="0.35">
      <c r="B35" s="30" t="s">
        <v>21</v>
      </c>
      <c r="C35" s="31" t="s">
        <v>61</v>
      </c>
    </row>
    <row r="36" spans="2:3" ht="18" customHeight="1" x14ac:dyDescent="0.35">
      <c r="B36" s="30" t="s">
        <v>62</v>
      </c>
      <c r="C36" s="31" t="s">
        <v>63</v>
      </c>
    </row>
    <row r="37" spans="2:3" ht="18" customHeight="1" x14ac:dyDescent="0.35">
      <c r="B37" s="30" t="s">
        <v>64</v>
      </c>
      <c r="C37" s="31" t="s">
        <v>65</v>
      </c>
    </row>
    <row r="38" spans="2:3" ht="18" customHeight="1" x14ac:dyDescent="0.35"/>
    <row r="39" spans="2:3" x14ac:dyDescent="0.35">
      <c r="B39" s="34" t="s">
        <v>4</v>
      </c>
      <c r="C39" s="35" t="s">
        <v>66</v>
      </c>
    </row>
    <row r="40" spans="2:3" ht="29" x14ac:dyDescent="0.35">
      <c r="B40" s="34" t="s">
        <v>67</v>
      </c>
      <c r="C40" s="35" t="s">
        <v>68</v>
      </c>
    </row>
    <row r="41" spans="2:3" x14ac:dyDescent="0.35">
      <c r="B41" s="34" t="s">
        <v>69</v>
      </c>
      <c r="C41" s="35" t="s">
        <v>70</v>
      </c>
    </row>
    <row r="42" spans="2:3" ht="29" x14ac:dyDescent="0.35">
      <c r="B42" s="34" t="s">
        <v>71</v>
      </c>
      <c r="C42" s="35" t="s">
        <v>72</v>
      </c>
    </row>
    <row r="43" spans="2:3" x14ac:dyDescent="0.35">
      <c r="B43" s="34" t="s">
        <v>73</v>
      </c>
      <c r="C43" s="35" t="s">
        <v>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B5132"/>
  </sheetPr>
  <dimension ref="A1:T274"/>
  <sheetViews>
    <sheetView showGridLines="0" zoomScaleNormal="100" workbookViewId="0">
      <pane ySplit="4" topLeftCell="A60" activePane="bottomLeft" state="frozen"/>
      <selection pane="bottomLeft" activeCell="S5" sqref="S5"/>
    </sheetView>
  </sheetViews>
  <sheetFormatPr defaultColWidth="72" defaultRowHeight="14.5" x14ac:dyDescent="0.35"/>
  <cols>
    <col min="1" max="1" width="17" style="25" customWidth="1"/>
    <col min="2" max="2" width="26" style="25" customWidth="1"/>
    <col min="3" max="3" width="13" style="25" customWidth="1"/>
    <col min="4" max="4" width="42" style="25" customWidth="1"/>
    <col min="5" max="5" width="25" style="25" customWidth="1"/>
    <col min="6" max="6" width="58" style="25" customWidth="1"/>
    <col min="7" max="7" width="18" style="25" customWidth="1"/>
    <col min="8" max="8" width="48" style="25" customWidth="1"/>
    <col min="9" max="9" width="24" style="25" customWidth="1"/>
    <col min="10" max="10" width="18" style="25" customWidth="1"/>
    <col min="11" max="11" width="16" style="25" customWidth="1"/>
    <col min="12" max="12" width="22" style="25" customWidth="1"/>
    <col min="13" max="14" width="18" style="25" customWidth="1"/>
    <col min="15" max="15" width="15" style="25" customWidth="1"/>
    <col min="16" max="16" width="16" style="25" customWidth="1"/>
    <col min="17" max="17" width="65" style="25" customWidth="1"/>
    <col min="18" max="18" width="72" style="25" customWidth="1"/>
    <col min="19" max="19" width="38" customWidth="1"/>
    <col min="20" max="20" width="24" customWidth="1"/>
    <col min="21" max="16384" width="72" style="25"/>
  </cols>
  <sheetData>
    <row r="1" spans="1:20" ht="18" customHeight="1" x14ac:dyDescent="0.4">
      <c r="A1" s="32" t="s">
        <v>75</v>
      </c>
    </row>
    <row r="2" spans="1:20" x14ac:dyDescent="0.35">
      <c r="A2" s="33" t="s">
        <v>76</v>
      </c>
    </row>
    <row r="4" spans="1:20" ht="44" customHeight="1" x14ac:dyDescent="0.35">
      <c r="A4" s="36" t="s">
        <v>39</v>
      </c>
      <c r="B4" s="36" t="s">
        <v>41</v>
      </c>
      <c r="C4" s="36" t="s">
        <v>43</v>
      </c>
      <c r="D4" s="36" t="s">
        <v>44</v>
      </c>
      <c r="E4" s="36" t="s">
        <v>46</v>
      </c>
      <c r="F4" s="36" t="s">
        <v>19</v>
      </c>
      <c r="G4" s="36" t="s">
        <v>36</v>
      </c>
      <c r="H4" s="36" t="s">
        <v>50</v>
      </c>
      <c r="I4" s="36" t="s">
        <v>52</v>
      </c>
      <c r="J4" s="36" t="s">
        <v>54</v>
      </c>
      <c r="K4" s="36" t="s">
        <v>56</v>
      </c>
      <c r="L4" s="36" t="s">
        <v>30</v>
      </c>
      <c r="M4" s="36" t="s">
        <v>32</v>
      </c>
      <c r="N4" s="36" t="s">
        <v>34</v>
      </c>
      <c r="O4" s="36" t="s">
        <v>21</v>
      </c>
      <c r="P4" s="36" t="s">
        <v>62</v>
      </c>
      <c r="Q4" s="36" t="s">
        <v>64</v>
      </c>
      <c r="R4" s="37" t="s">
        <v>77</v>
      </c>
      <c r="S4" s="37" t="s">
        <v>78</v>
      </c>
      <c r="T4" s="37" t="s">
        <v>79</v>
      </c>
    </row>
    <row r="5" spans="1:20" ht="43.5" x14ac:dyDescent="0.35">
      <c r="A5" s="38" t="s">
        <v>80</v>
      </c>
      <c r="B5" s="39" t="s">
        <v>81</v>
      </c>
      <c r="C5" s="38">
        <v>1</v>
      </c>
      <c r="D5" s="38" t="s">
        <v>82</v>
      </c>
      <c r="E5" s="38" t="s">
        <v>47</v>
      </c>
      <c r="F5" s="38" t="s">
        <v>83</v>
      </c>
      <c r="G5" s="38" t="s">
        <v>84</v>
      </c>
      <c r="H5" s="38" t="s">
        <v>85</v>
      </c>
      <c r="I5" s="38" t="s">
        <v>53</v>
      </c>
      <c r="J5" s="38" t="s">
        <v>84</v>
      </c>
      <c r="K5" s="38" t="s">
        <v>57</v>
      </c>
      <c r="L5" s="38" t="s">
        <v>58</v>
      </c>
      <c r="M5" s="38" t="s">
        <v>86</v>
      </c>
      <c r="N5" s="38" t="s">
        <v>60</v>
      </c>
      <c r="O5" s="40"/>
      <c r="P5" s="38" t="s">
        <v>66</v>
      </c>
      <c r="Q5" s="38" t="s">
        <v>87</v>
      </c>
      <c r="R5" s="35" t="s">
        <v>88</v>
      </c>
      <c r="S5" s="35" t="s">
        <v>89</v>
      </c>
      <c r="T5" s="35" t="s">
        <v>90</v>
      </c>
    </row>
    <row r="6" spans="1:20" ht="43.5" x14ac:dyDescent="0.35">
      <c r="A6" s="38" t="s">
        <v>80</v>
      </c>
      <c r="B6" s="38" t="s">
        <v>81</v>
      </c>
      <c r="C6" s="38">
        <v>2</v>
      </c>
      <c r="D6" s="38" t="s">
        <v>91</v>
      </c>
      <c r="E6" s="38" t="s">
        <v>92</v>
      </c>
      <c r="F6" s="38" t="s">
        <v>93</v>
      </c>
      <c r="G6" s="38" t="s">
        <v>94</v>
      </c>
      <c r="H6" s="38" t="s">
        <v>95</v>
      </c>
      <c r="I6" s="38" t="s">
        <v>96</v>
      </c>
      <c r="J6" s="38" t="s">
        <v>97</v>
      </c>
      <c r="K6" s="38" t="s">
        <v>57</v>
      </c>
      <c r="L6" s="38" t="s">
        <v>58</v>
      </c>
      <c r="M6" s="38" t="s">
        <v>86</v>
      </c>
      <c r="N6" s="38" t="s">
        <v>60</v>
      </c>
      <c r="O6" s="40"/>
      <c r="P6" s="38" t="s">
        <v>66</v>
      </c>
      <c r="Q6" s="38" t="s">
        <v>98</v>
      </c>
      <c r="R6" s="35" t="s">
        <v>88</v>
      </c>
      <c r="S6" s="35" t="s">
        <v>89</v>
      </c>
      <c r="T6" s="35" t="s">
        <v>90</v>
      </c>
    </row>
    <row r="7" spans="1:20" ht="43.5" x14ac:dyDescent="0.35">
      <c r="A7" s="38" t="s">
        <v>80</v>
      </c>
      <c r="B7" s="38" t="s">
        <v>81</v>
      </c>
      <c r="C7" s="38">
        <v>3</v>
      </c>
      <c r="D7" s="38" t="s">
        <v>99</v>
      </c>
      <c r="E7" s="38" t="s">
        <v>100</v>
      </c>
      <c r="F7" s="38" t="s">
        <v>101</v>
      </c>
      <c r="G7" s="38" t="s">
        <v>84</v>
      </c>
      <c r="H7" s="38" t="s">
        <v>102</v>
      </c>
      <c r="I7" s="38" t="s">
        <v>96</v>
      </c>
      <c r="J7" s="38" t="s">
        <v>84</v>
      </c>
      <c r="K7" s="38" t="s">
        <v>57</v>
      </c>
      <c r="L7" s="38" t="s">
        <v>58</v>
      </c>
      <c r="M7" s="38" t="s">
        <v>86</v>
      </c>
      <c r="N7" s="38" t="s">
        <v>60</v>
      </c>
      <c r="O7" s="40"/>
      <c r="P7" s="38" t="s">
        <v>66</v>
      </c>
      <c r="Q7" s="38" t="s">
        <v>103</v>
      </c>
      <c r="R7" s="35" t="s">
        <v>88</v>
      </c>
      <c r="S7" s="35" t="s">
        <v>89</v>
      </c>
      <c r="T7" s="35" t="s">
        <v>90</v>
      </c>
    </row>
    <row r="8" spans="1:20" ht="43.5" x14ac:dyDescent="0.35">
      <c r="A8" s="38" t="s">
        <v>80</v>
      </c>
      <c r="B8" s="38" t="s">
        <v>81</v>
      </c>
      <c r="C8" s="38">
        <v>4</v>
      </c>
      <c r="D8" s="38" t="s">
        <v>104</v>
      </c>
      <c r="E8" s="38" t="s">
        <v>105</v>
      </c>
      <c r="F8" s="38" t="s">
        <v>83</v>
      </c>
      <c r="G8" s="38" t="s">
        <v>84</v>
      </c>
      <c r="H8" s="38" t="s">
        <v>106</v>
      </c>
      <c r="I8" s="38" t="s">
        <v>107</v>
      </c>
      <c r="J8" s="38" t="s">
        <v>84</v>
      </c>
      <c r="K8" s="38" t="s">
        <v>57</v>
      </c>
      <c r="L8" s="38" t="s">
        <v>58</v>
      </c>
      <c r="M8" s="38" t="s">
        <v>86</v>
      </c>
      <c r="N8" s="38" t="s">
        <v>60</v>
      </c>
      <c r="O8" s="40"/>
      <c r="P8" s="38" t="s">
        <v>66</v>
      </c>
      <c r="Q8" s="38" t="s">
        <v>108</v>
      </c>
      <c r="R8" s="35" t="s">
        <v>88</v>
      </c>
      <c r="S8" s="35" t="s">
        <v>89</v>
      </c>
      <c r="T8" s="35" t="s">
        <v>90</v>
      </c>
    </row>
    <row r="9" spans="1:20" ht="43.5" x14ac:dyDescent="0.35">
      <c r="A9" s="41" t="s">
        <v>80</v>
      </c>
      <c r="B9" s="41" t="s">
        <v>81</v>
      </c>
      <c r="C9" s="41">
        <v>5</v>
      </c>
      <c r="D9" s="41" t="s">
        <v>109</v>
      </c>
      <c r="E9" s="41" t="s">
        <v>105</v>
      </c>
      <c r="F9" s="41" t="s">
        <v>110</v>
      </c>
      <c r="G9" s="41" t="s">
        <v>84</v>
      </c>
      <c r="H9" s="41" t="s">
        <v>111</v>
      </c>
      <c r="I9" s="41" t="s">
        <v>53</v>
      </c>
      <c r="J9" s="41" t="s">
        <v>84</v>
      </c>
      <c r="K9" s="41" t="s">
        <v>57</v>
      </c>
      <c r="L9" s="41" t="s">
        <v>58</v>
      </c>
      <c r="M9" s="41" t="s">
        <v>86</v>
      </c>
      <c r="N9" s="41" t="s">
        <v>60</v>
      </c>
      <c r="O9" s="42"/>
      <c r="P9" s="41" t="s">
        <v>66</v>
      </c>
      <c r="Q9" s="41" t="s">
        <v>112</v>
      </c>
      <c r="R9" s="35" t="s">
        <v>88</v>
      </c>
      <c r="S9" s="35" t="s">
        <v>89</v>
      </c>
      <c r="T9" s="35" t="s">
        <v>90</v>
      </c>
    </row>
    <row r="10" spans="1:20" ht="43.5" x14ac:dyDescent="0.35">
      <c r="A10" s="43" t="s">
        <v>80</v>
      </c>
      <c r="B10" s="44" t="s">
        <v>113</v>
      </c>
      <c r="C10" s="43">
        <v>1</v>
      </c>
      <c r="D10" s="43" t="s">
        <v>114</v>
      </c>
      <c r="E10" s="43" t="s">
        <v>47</v>
      </c>
      <c r="F10" s="43" t="s">
        <v>83</v>
      </c>
      <c r="G10" s="43" t="s">
        <v>84</v>
      </c>
      <c r="H10" s="43" t="s">
        <v>85</v>
      </c>
      <c r="I10" s="43" t="s">
        <v>53</v>
      </c>
      <c r="J10" s="43" t="s">
        <v>84</v>
      </c>
      <c r="K10" s="43" t="s">
        <v>57</v>
      </c>
      <c r="L10" s="43" t="s">
        <v>58</v>
      </c>
      <c r="M10" s="43" t="s">
        <v>86</v>
      </c>
      <c r="N10" s="43" t="s">
        <v>60</v>
      </c>
      <c r="O10" s="45"/>
      <c r="P10" s="43" t="s">
        <v>66</v>
      </c>
      <c r="Q10" s="43" t="s">
        <v>87</v>
      </c>
      <c r="R10" s="35" t="s">
        <v>88</v>
      </c>
      <c r="S10" s="35" t="s">
        <v>89</v>
      </c>
      <c r="T10" s="35" t="s">
        <v>90</v>
      </c>
    </row>
    <row r="11" spans="1:20" ht="43.5" x14ac:dyDescent="0.35">
      <c r="A11" s="43" t="s">
        <v>80</v>
      </c>
      <c r="B11" s="43" t="s">
        <v>113</v>
      </c>
      <c r="C11" s="43">
        <v>2</v>
      </c>
      <c r="D11" s="43" t="s">
        <v>115</v>
      </c>
      <c r="E11" s="43" t="s">
        <v>92</v>
      </c>
      <c r="F11" s="43" t="s">
        <v>116</v>
      </c>
      <c r="G11" s="43" t="s">
        <v>94</v>
      </c>
      <c r="H11" s="43" t="s">
        <v>95</v>
      </c>
      <c r="I11" s="43" t="s">
        <v>96</v>
      </c>
      <c r="J11" s="43" t="s">
        <v>97</v>
      </c>
      <c r="K11" s="43" t="s">
        <v>57</v>
      </c>
      <c r="L11" s="43" t="s">
        <v>58</v>
      </c>
      <c r="M11" s="43" t="s">
        <v>86</v>
      </c>
      <c r="N11" s="43" t="s">
        <v>60</v>
      </c>
      <c r="O11" s="45"/>
      <c r="P11" s="43" t="s">
        <v>66</v>
      </c>
      <c r="Q11" s="43" t="s">
        <v>98</v>
      </c>
      <c r="R11" s="35" t="s">
        <v>88</v>
      </c>
      <c r="S11" s="35" t="s">
        <v>89</v>
      </c>
      <c r="T11" s="35" t="s">
        <v>90</v>
      </c>
    </row>
    <row r="12" spans="1:20" ht="43.5" x14ac:dyDescent="0.35">
      <c r="A12" s="43" t="s">
        <v>80</v>
      </c>
      <c r="B12" s="43" t="s">
        <v>113</v>
      </c>
      <c r="C12" s="43">
        <v>3</v>
      </c>
      <c r="D12" s="43" t="s">
        <v>117</v>
      </c>
      <c r="E12" s="43" t="s">
        <v>100</v>
      </c>
      <c r="F12" s="43" t="s">
        <v>118</v>
      </c>
      <c r="G12" s="43" t="s">
        <v>84</v>
      </c>
      <c r="H12" s="43" t="s">
        <v>102</v>
      </c>
      <c r="I12" s="43" t="s">
        <v>96</v>
      </c>
      <c r="J12" s="43" t="s">
        <v>84</v>
      </c>
      <c r="K12" s="43" t="s">
        <v>57</v>
      </c>
      <c r="L12" s="43" t="s">
        <v>58</v>
      </c>
      <c r="M12" s="43" t="s">
        <v>86</v>
      </c>
      <c r="N12" s="43" t="s">
        <v>60</v>
      </c>
      <c r="O12" s="45"/>
      <c r="P12" s="43" t="s">
        <v>66</v>
      </c>
      <c r="Q12" s="43" t="s">
        <v>103</v>
      </c>
      <c r="R12" s="35" t="s">
        <v>88</v>
      </c>
      <c r="S12" s="35" t="s">
        <v>89</v>
      </c>
      <c r="T12" s="35" t="s">
        <v>90</v>
      </c>
    </row>
    <row r="13" spans="1:20" ht="43.5" x14ac:dyDescent="0.35">
      <c r="A13" s="43" t="s">
        <v>80</v>
      </c>
      <c r="B13" s="43" t="s">
        <v>113</v>
      </c>
      <c r="C13" s="43">
        <v>4</v>
      </c>
      <c r="D13" s="43" t="s">
        <v>104</v>
      </c>
      <c r="E13" s="43" t="s">
        <v>105</v>
      </c>
      <c r="F13" s="43" t="s">
        <v>83</v>
      </c>
      <c r="G13" s="43" t="s">
        <v>84</v>
      </c>
      <c r="H13" s="43" t="s">
        <v>106</v>
      </c>
      <c r="I13" s="43" t="s">
        <v>107</v>
      </c>
      <c r="J13" s="43" t="s">
        <v>84</v>
      </c>
      <c r="K13" s="43" t="s">
        <v>57</v>
      </c>
      <c r="L13" s="43" t="s">
        <v>58</v>
      </c>
      <c r="M13" s="43" t="s">
        <v>86</v>
      </c>
      <c r="N13" s="43" t="s">
        <v>60</v>
      </c>
      <c r="O13" s="45"/>
      <c r="P13" s="43" t="s">
        <v>66</v>
      </c>
      <c r="Q13" s="43" t="s">
        <v>108</v>
      </c>
      <c r="R13" s="35" t="s">
        <v>88</v>
      </c>
      <c r="S13" s="35" t="s">
        <v>89</v>
      </c>
      <c r="T13" s="35" t="s">
        <v>90</v>
      </c>
    </row>
    <row r="14" spans="1:20" ht="43.5" x14ac:dyDescent="0.35">
      <c r="A14" s="46" t="s">
        <v>80</v>
      </c>
      <c r="B14" s="46" t="s">
        <v>113</v>
      </c>
      <c r="C14" s="46">
        <v>5</v>
      </c>
      <c r="D14" s="46" t="s">
        <v>109</v>
      </c>
      <c r="E14" s="46" t="s">
        <v>105</v>
      </c>
      <c r="F14" s="46" t="s">
        <v>110</v>
      </c>
      <c r="G14" s="46" t="s">
        <v>84</v>
      </c>
      <c r="H14" s="46" t="s">
        <v>111</v>
      </c>
      <c r="I14" s="46" t="s">
        <v>53</v>
      </c>
      <c r="J14" s="46" t="s">
        <v>84</v>
      </c>
      <c r="K14" s="46" t="s">
        <v>57</v>
      </c>
      <c r="L14" s="46" t="s">
        <v>58</v>
      </c>
      <c r="M14" s="46" t="s">
        <v>86</v>
      </c>
      <c r="N14" s="46" t="s">
        <v>60</v>
      </c>
      <c r="O14" s="47"/>
      <c r="P14" s="46" t="s">
        <v>66</v>
      </c>
      <c r="Q14" s="46" t="s">
        <v>112</v>
      </c>
      <c r="R14" s="35" t="s">
        <v>88</v>
      </c>
      <c r="S14" s="35" t="s">
        <v>89</v>
      </c>
      <c r="T14" s="35" t="s">
        <v>90</v>
      </c>
    </row>
    <row r="15" spans="1:20" ht="43.5" x14ac:dyDescent="0.35">
      <c r="A15" s="38" t="s">
        <v>80</v>
      </c>
      <c r="B15" s="39" t="s">
        <v>119</v>
      </c>
      <c r="C15" s="38">
        <v>1</v>
      </c>
      <c r="D15" s="38" t="s">
        <v>120</v>
      </c>
      <c r="E15" s="38" t="s">
        <v>47</v>
      </c>
      <c r="F15" s="38" t="s">
        <v>83</v>
      </c>
      <c r="G15" s="38" t="s">
        <v>84</v>
      </c>
      <c r="H15" s="38" t="s">
        <v>85</v>
      </c>
      <c r="I15" s="38" t="s">
        <v>53</v>
      </c>
      <c r="J15" s="38" t="s">
        <v>84</v>
      </c>
      <c r="K15" s="38" t="s">
        <v>57</v>
      </c>
      <c r="L15" s="38" t="s">
        <v>58</v>
      </c>
      <c r="M15" s="38" t="s">
        <v>86</v>
      </c>
      <c r="N15" s="38" t="s">
        <v>60</v>
      </c>
      <c r="O15" s="40"/>
      <c r="P15" s="38" t="s">
        <v>66</v>
      </c>
      <c r="Q15" s="38" t="s">
        <v>87</v>
      </c>
      <c r="R15" s="35" t="s">
        <v>88</v>
      </c>
      <c r="S15" s="35" t="s">
        <v>89</v>
      </c>
      <c r="T15" s="35" t="s">
        <v>90</v>
      </c>
    </row>
    <row r="16" spans="1:20" ht="43.5" x14ac:dyDescent="0.35">
      <c r="A16" s="38" t="s">
        <v>80</v>
      </c>
      <c r="B16" s="38" t="s">
        <v>119</v>
      </c>
      <c r="C16" s="38">
        <v>2</v>
      </c>
      <c r="D16" s="38" t="s">
        <v>121</v>
      </c>
      <c r="E16" s="38" t="s">
        <v>92</v>
      </c>
      <c r="F16" s="38" t="s">
        <v>122</v>
      </c>
      <c r="G16" s="38" t="s">
        <v>94</v>
      </c>
      <c r="H16" s="38" t="s">
        <v>95</v>
      </c>
      <c r="I16" s="38" t="s">
        <v>96</v>
      </c>
      <c r="J16" s="38" t="s">
        <v>97</v>
      </c>
      <c r="K16" s="38" t="s">
        <v>57</v>
      </c>
      <c r="L16" s="38" t="s">
        <v>58</v>
      </c>
      <c r="M16" s="38" t="s">
        <v>86</v>
      </c>
      <c r="N16" s="38" t="s">
        <v>60</v>
      </c>
      <c r="O16" s="40"/>
      <c r="P16" s="38" t="s">
        <v>66</v>
      </c>
      <c r="Q16" s="38" t="s">
        <v>98</v>
      </c>
      <c r="R16" s="35" t="s">
        <v>88</v>
      </c>
      <c r="S16" s="35" t="s">
        <v>89</v>
      </c>
      <c r="T16" s="35" t="s">
        <v>90</v>
      </c>
    </row>
    <row r="17" spans="1:20" ht="43.5" x14ac:dyDescent="0.35">
      <c r="A17" s="38" t="s">
        <v>80</v>
      </c>
      <c r="B17" s="38" t="s">
        <v>119</v>
      </c>
      <c r="C17" s="38">
        <v>3</v>
      </c>
      <c r="D17" s="38" t="s">
        <v>123</v>
      </c>
      <c r="E17" s="38" t="s">
        <v>100</v>
      </c>
      <c r="F17" s="38" t="s">
        <v>124</v>
      </c>
      <c r="G17" s="38" t="s">
        <v>84</v>
      </c>
      <c r="H17" s="38" t="s">
        <v>102</v>
      </c>
      <c r="I17" s="38" t="s">
        <v>96</v>
      </c>
      <c r="J17" s="38" t="s">
        <v>84</v>
      </c>
      <c r="K17" s="38" t="s">
        <v>57</v>
      </c>
      <c r="L17" s="38" t="s">
        <v>58</v>
      </c>
      <c r="M17" s="38" t="s">
        <v>86</v>
      </c>
      <c r="N17" s="38" t="s">
        <v>60</v>
      </c>
      <c r="O17" s="40"/>
      <c r="P17" s="38" t="s">
        <v>66</v>
      </c>
      <c r="Q17" s="38" t="s">
        <v>103</v>
      </c>
      <c r="R17" s="35" t="s">
        <v>88</v>
      </c>
      <c r="S17" s="35" t="s">
        <v>89</v>
      </c>
      <c r="T17" s="35" t="s">
        <v>90</v>
      </c>
    </row>
    <row r="18" spans="1:20" ht="43.5" x14ac:dyDescent="0.35">
      <c r="A18" s="38" t="s">
        <v>80</v>
      </c>
      <c r="B18" s="38" t="s">
        <v>119</v>
      </c>
      <c r="C18" s="38">
        <v>4</v>
      </c>
      <c r="D18" s="38" t="s">
        <v>104</v>
      </c>
      <c r="E18" s="38" t="s">
        <v>105</v>
      </c>
      <c r="F18" s="38" t="s">
        <v>83</v>
      </c>
      <c r="G18" s="38" t="s">
        <v>84</v>
      </c>
      <c r="H18" s="38" t="s">
        <v>106</v>
      </c>
      <c r="I18" s="38" t="s">
        <v>107</v>
      </c>
      <c r="J18" s="38" t="s">
        <v>84</v>
      </c>
      <c r="K18" s="38" t="s">
        <v>57</v>
      </c>
      <c r="L18" s="38" t="s">
        <v>58</v>
      </c>
      <c r="M18" s="38" t="s">
        <v>86</v>
      </c>
      <c r="N18" s="38" t="s">
        <v>60</v>
      </c>
      <c r="O18" s="40"/>
      <c r="P18" s="38" t="s">
        <v>66</v>
      </c>
      <c r="Q18" s="38" t="s">
        <v>108</v>
      </c>
      <c r="R18" s="35" t="s">
        <v>88</v>
      </c>
      <c r="S18" s="35" t="s">
        <v>89</v>
      </c>
      <c r="T18" s="35" t="s">
        <v>90</v>
      </c>
    </row>
    <row r="19" spans="1:20" ht="43.5" x14ac:dyDescent="0.35">
      <c r="A19" s="41" t="s">
        <v>80</v>
      </c>
      <c r="B19" s="41" t="s">
        <v>119</v>
      </c>
      <c r="C19" s="41">
        <v>5</v>
      </c>
      <c r="D19" s="41" t="s">
        <v>109</v>
      </c>
      <c r="E19" s="41" t="s">
        <v>105</v>
      </c>
      <c r="F19" s="41" t="s">
        <v>110</v>
      </c>
      <c r="G19" s="41" t="s">
        <v>84</v>
      </c>
      <c r="H19" s="41" t="s">
        <v>111</v>
      </c>
      <c r="I19" s="41" t="s">
        <v>53</v>
      </c>
      <c r="J19" s="41" t="s">
        <v>84</v>
      </c>
      <c r="K19" s="41" t="s">
        <v>57</v>
      </c>
      <c r="L19" s="41" t="s">
        <v>58</v>
      </c>
      <c r="M19" s="41" t="s">
        <v>86</v>
      </c>
      <c r="N19" s="41" t="s">
        <v>60</v>
      </c>
      <c r="O19" s="42"/>
      <c r="P19" s="41" t="s">
        <v>66</v>
      </c>
      <c r="Q19" s="41" t="s">
        <v>112</v>
      </c>
      <c r="R19" s="35" t="s">
        <v>88</v>
      </c>
      <c r="S19" s="35" t="s">
        <v>89</v>
      </c>
      <c r="T19" s="35" t="s">
        <v>90</v>
      </c>
    </row>
    <row r="20" spans="1:20" ht="43.5" x14ac:dyDescent="0.35">
      <c r="A20" s="43" t="s">
        <v>80</v>
      </c>
      <c r="B20" s="44" t="s">
        <v>125</v>
      </c>
      <c r="C20" s="43">
        <v>1</v>
      </c>
      <c r="D20" s="43" t="s">
        <v>126</v>
      </c>
      <c r="E20" s="43" t="s">
        <v>47</v>
      </c>
      <c r="F20" s="43" t="s">
        <v>83</v>
      </c>
      <c r="G20" s="43" t="s">
        <v>84</v>
      </c>
      <c r="H20" s="43" t="s">
        <v>85</v>
      </c>
      <c r="I20" s="43" t="s">
        <v>53</v>
      </c>
      <c r="J20" s="43" t="s">
        <v>84</v>
      </c>
      <c r="K20" s="43" t="s">
        <v>57</v>
      </c>
      <c r="L20" s="43" t="s">
        <v>58</v>
      </c>
      <c r="M20" s="43" t="s">
        <v>86</v>
      </c>
      <c r="N20" s="43" t="s">
        <v>60</v>
      </c>
      <c r="O20" s="45"/>
      <c r="P20" s="43" t="s">
        <v>66</v>
      </c>
      <c r="Q20" s="43" t="s">
        <v>87</v>
      </c>
      <c r="R20" s="35" t="s">
        <v>88</v>
      </c>
      <c r="S20" s="35" t="s">
        <v>89</v>
      </c>
      <c r="T20" s="35" t="s">
        <v>90</v>
      </c>
    </row>
    <row r="21" spans="1:20" ht="43.5" x14ac:dyDescent="0.35">
      <c r="A21" s="43" t="s">
        <v>80</v>
      </c>
      <c r="B21" s="43" t="s">
        <v>125</v>
      </c>
      <c r="C21" s="43">
        <v>2</v>
      </c>
      <c r="D21" s="43" t="s">
        <v>127</v>
      </c>
      <c r="E21" s="43" t="s">
        <v>92</v>
      </c>
      <c r="F21" s="43" t="s">
        <v>128</v>
      </c>
      <c r="G21" s="43" t="s">
        <v>94</v>
      </c>
      <c r="H21" s="43" t="s">
        <v>95</v>
      </c>
      <c r="I21" s="43" t="s">
        <v>96</v>
      </c>
      <c r="J21" s="43" t="s">
        <v>97</v>
      </c>
      <c r="K21" s="43" t="s">
        <v>57</v>
      </c>
      <c r="L21" s="43" t="s">
        <v>58</v>
      </c>
      <c r="M21" s="43" t="s">
        <v>86</v>
      </c>
      <c r="N21" s="43" t="s">
        <v>60</v>
      </c>
      <c r="O21" s="45"/>
      <c r="P21" s="43" t="s">
        <v>66</v>
      </c>
      <c r="Q21" s="43" t="s">
        <v>98</v>
      </c>
      <c r="R21" s="35" t="s">
        <v>88</v>
      </c>
      <c r="S21" s="35" t="s">
        <v>89</v>
      </c>
      <c r="T21" s="35" t="s">
        <v>90</v>
      </c>
    </row>
    <row r="22" spans="1:20" ht="43.5" x14ac:dyDescent="0.35">
      <c r="A22" s="43" t="s">
        <v>80</v>
      </c>
      <c r="B22" s="43" t="s">
        <v>125</v>
      </c>
      <c r="C22" s="43">
        <v>3</v>
      </c>
      <c r="D22" s="43" t="s">
        <v>129</v>
      </c>
      <c r="E22" s="43" t="s">
        <v>100</v>
      </c>
      <c r="F22" s="43" t="s">
        <v>130</v>
      </c>
      <c r="G22" s="43" t="s">
        <v>84</v>
      </c>
      <c r="H22" s="43" t="s">
        <v>102</v>
      </c>
      <c r="I22" s="43" t="s">
        <v>96</v>
      </c>
      <c r="J22" s="43" t="s">
        <v>84</v>
      </c>
      <c r="K22" s="43" t="s">
        <v>57</v>
      </c>
      <c r="L22" s="43" t="s">
        <v>58</v>
      </c>
      <c r="M22" s="43" t="s">
        <v>86</v>
      </c>
      <c r="N22" s="43" t="s">
        <v>60</v>
      </c>
      <c r="O22" s="45"/>
      <c r="P22" s="43" t="s">
        <v>66</v>
      </c>
      <c r="Q22" s="43" t="s">
        <v>103</v>
      </c>
      <c r="R22" s="35" t="s">
        <v>88</v>
      </c>
      <c r="S22" s="35" t="s">
        <v>89</v>
      </c>
      <c r="T22" s="35" t="s">
        <v>90</v>
      </c>
    </row>
    <row r="23" spans="1:20" ht="43.5" x14ac:dyDescent="0.35">
      <c r="A23" s="43" t="s">
        <v>80</v>
      </c>
      <c r="B23" s="43" t="s">
        <v>125</v>
      </c>
      <c r="C23" s="43">
        <v>4</v>
      </c>
      <c r="D23" s="43" t="s">
        <v>104</v>
      </c>
      <c r="E23" s="43" t="s">
        <v>105</v>
      </c>
      <c r="F23" s="43" t="s">
        <v>83</v>
      </c>
      <c r="G23" s="43" t="s">
        <v>84</v>
      </c>
      <c r="H23" s="43" t="s">
        <v>106</v>
      </c>
      <c r="I23" s="43" t="s">
        <v>107</v>
      </c>
      <c r="J23" s="43" t="s">
        <v>84</v>
      </c>
      <c r="K23" s="43" t="s">
        <v>57</v>
      </c>
      <c r="L23" s="43" t="s">
        <v>58</v>
      </c>
      <c r="M23" s="43" t="s">
        <v>86</v>
      </c>
      <c r="N23" s="43" t="s">
        <v>60</v>
      </c>
      <c r="O23" s="45"/>
      <c r="P23" s="43" t="s">
        <v>66</v>
      </c>
      <c r="Q23" s="43" t="s">
        <v>108</v>
      </c>
      <c r="R23" s="35" t="s">
        <v>88</v>
      </c>
      <c r="S23" s="35" t="s">
        <v>89</v>
      </c>
      <c r="T23" s="35" t="s">
        <v>90</v>
      </c>
    </row>
    <row r="24" spans="1:20" ht="43.5" x14ac:dyDescent="0.35">
      <c r="A24" s="46" t="s">
        <v>80</v>
      </c>
      <c r="B24" s="46" t="s">
        <v>125</v>
      </c>
      <c r="C24" s="46">
        <v>5</v>
      </c>
      <c r="D24" s="46" t="s">
        <v>109</v>
      </c>
      <c r="E24" s="46" t="s">
        <v>105</v>
      </c>
      <c r="F24" s="46" t="s">
        <v>110</v>
      </c>
      <c r="G24" s="46" t="s">
        <v>84</v>
      </c>
      <c r="H24" s="46" t="s">
        <v>111</v>
      </c>
      <c r="I24" s="46" t="s">
        <v>53</v>
      </c>
      <c r="J24" s="46" t="s">
        <v>84</v>
      </c>
      <c r="K24" s="46" t="s">
        <v>57</v>
      </c>
      <c r="L24" s="46" t="s">
        <v>58</v>
      </c>
      <c r="M24" s="46" t="s">
        <v>86</v>
      </c>
      <c r="N24" s="46" t="s">
        <v>60</v>
      </c>
      <c r="O24" s="47"/>
      <c r="P24" s="46" t="s">
        <v>66</v>
      </c>
      <c r="Q24" s="46" t="s">
        <v>112</v>
      </c>
      <c r="R24" s="35" t="s">
        <v>88</v>
      </c>
      <c r="S24" s="35" t="s">
        <v>89</v>
      </c>
      <c r="T24" s="35" t="s">
        <v>90</v>
      </c>
    </row>
    <row r="25" spans="1:20" ht="43.5" x14ac:dyDescent="0.35">
      <c r="A25" s="38" t="s">
        <v>80</v>
      </c>
      <c r="B25" s="39" t="s">
        <v>131</v>
      </c>
      <c r="C25" s="38">
        <v>1</v>
      </c>
      <c r="D25" s="38" t="s">
        <v>132</v>
      </c>
      <c r="E25" s="38" t="s">
        <v>47</v>
      </c>
      <c r="F25" s="38" t="s">
        <v>83</v>
      </c>
      <c r="G25" s="38" t="s">
        <v>84</v>
      </c>
      <c r="H25" s="38" t="s">
        <v>85</v>
      </c>
      <c r="I25" s="38" t="s">
        <v>53</v>
      </c>
      <c r="J25" s="38" t="s">
        <v>84</v>
      </c>
      <c r="K25" s="38" t="s">
        <v>57</v>
      </c>
      <c r="L25" s="38" t="s">
        <v>58</v>
      </c>
      <c r="M25" s="38" t="s">
        <v>86</v>
      </c>
      <c r="N25" s="38" t="s">
        <v>60</v>
      </c>
      <c r="O25" s="40"/>
      <c r="P25" s="38" t="s">
        <v>66</v>
      </c>
      <c r="Q25" s="38" t="s">
        <v>87</v>
      </c>
      <c r="R25" s="35" t="s">
        <v>88</v>
      </c>
      <c r="S25" s="35" t="s">
        <v>89</v>
      </c>
      <c r="T25" s="35" t="s">
        <v>90</v>
      </c>
    </row>
    <row r="26" spans="1:20" ht="43.5" x14ac:dyDescent="0.35">
      <c r="A26" s="38" t="s">
        <v>80</v>
      </c>
      <c r="B26" s="38" t="s">
        <v>131</v>
      </c>
      <c r="C26" s="38">
        <v>2</v>
      </c>
      <c r="D26" s="38" t="s">
        <v>133</v>
      </c>
      <c r="E26" s="38" t="s">
        <v>92</v>
      </c>
      <c r="F26" s="38" t="s">
        <v>134</v>
      </c>
      <c r="G26" s="38" t="s">
        <v>94</v>
      </c>
      <c r="H26" s="38" t="s">
        <v>95</v>
      </c>
      <c r="I26" s="38" t="s">
        <v>96</v>
      </c>
      <c r="J26" s="38" t="s">
        <v>97</v>
      </c>
      <c r="K26" s="38" t="s">
        <v>57</v>
      </c>
      <c r="L26" s="38" t="s">
        <v>58</v>
      </c>
      <c r="M26" s="38" t="s">
        <v>86</v>
      </c>
      <c r="N26" s="38" t="s">
        <v>60</v>
      </c>
      <c r="O26" s="40"/>
      <c r="P26" s="38" t="s">
        <v>66</v>
      </c>
      <c r="Q26" s="38" t="s">
        <v>98</v>
      </c>
      <c r="R26" s="35" t="s">
        <v>88</v>
      </c>
      <c r="S26" s="35" t="s">
        <v>89</v>
      </c>
      <c r="T26" s="35" t="s">
        <v>90</v>
      </c>
    </row>
    <row r="27" spans="1:20" ht="43.5" x14ac:dyDescent="0.35">
      <c r="A27" s="38" t="s">
        <v>80</v>
      </c>
      <c r="B27" s="38" t="s">
        <v>131</v>
      </c>
      <c r="C27" s="38">
        <v>3</v>
      </c>
      <c r="D27" s="38" t="s">
        <v>135</v>
      </c>
      <c r="E27" s="38" t="s">
        <v>100</v>
      </c>
      <c r="F27" s="38" t="s">
        <v>136</v>
      </c>
      <c r="G27" s="38" t="s">
        <v>84</v>
      </c>
      <c r="H27" s="38" t="s">
        <v>102</v>
      </c>
      <c r="I27" s="38" t="s">
        <v>96</v>
      </c>
      <c r="J27" s="38" t="s">
        <v>84</v>
      </c>
      <c r="K27" s="38" t="s">
        <v>57</v>
      </c>
      <c r="L27" s="38" t="s">
        <v>58</v>
      </c>
      <c r="M27" s="38" t="s">
        <v>86</v>
      </c>
      <c r="N27" s="38" t="s">
        <v>60</v>
      </c>
      <c r="O27" s="40"/>
      <c r="P27" s="38" t="s">
        <v>66</v>
      </c>
      <c r="Q27" s="38" t="s">
        <v>103</v>
      </c>
      <c r="R27" s="35" t="s">
        <v>88</v>
      </c>
      <c r="S27" s="35" t="s">
        <v>89</v>
      </c>
      <c r="T27" s="35" t="s">
        <v>90</v>
      </c>
    </row>
    <row r="28" spans="1:20" ht="43.5" x14ac:dyDescent="0.35">
      <c r="A28" s="38" t="s">
        <v>80</v>
      </c>
      <c r="B28" s="38" t="s">
        <v>131</v>
      </c>
      <c r="C28" s="38">
        <v>4</v>
      </c>
      <c r="D28" s="38" t="s">
        <v>104</v>
      </c>
      <c r="E28" s="38" t="s">
        <v>105</v>
      </c>
      <c r="F28" s="38" t="s">
        <v>83</v>
      </c>
      <c r="G28" s="38" t="s">
        <v>84</v>
      </c>
      <c r="H28" s="38" t="s">
        <v>106</v>
      </c>
      <c r="I28" s="38" t="s">
        <v>107</v>
      </c>
      <c r="J28" s="38" t="s">
        <v>84</v>
      </c>
      <c r="K28" s="38" t="s">
        <v>57</v>
      </c>
      <c r="L28" s="38" t="s">
        <v>58</v>
      </c>
      <c r="M28" s="38" t="s">
        <v>86</v>
      </c>
      <c r="N28" s="38" t="s">
        <v>60</v>
      </c>
      <c r="O28" s="40"/>
      <c r="P28" s="38" t="s">
        <v>66</v>
      </c>
      <c r="Q28" s="38" t="s">
        <v>108</v>
      </c>
      <c r="R28" s="35" t="s">
        <v>88</v>
      </c>
      <c r="S28" s="35" t="s">
        <v>89</v>
      </c>
      <c r="T28" s="35" t="s">
        <v>90</v>
      </c>
    </row>
    <row r="29" spans="1:20" ht="43.5" x14ac:dyDescent="0.35">
      <c r="A29" s="41" t="s">
        <v>80</v>
      </c>
      <c r="B29" s="41" t="s">
        <v>131</v>
      </c>
      <c r="C29" s="41">
        <v>5</v>
      </c>
      <c r="D29" s="41" t="s">
        <v>109</v>
      </c>
      <c r="E29" s="41" t="s">
        <v>105</v>
      </c>
      <c r="F29" s="41" t="s">
        <v>110</v>
      </c>
      <c r="G29" s="41" t="s">
        <v>84</v>
      </c>
      <c r="H29" s="41" t="s">
        <v>111</v>
      </c>
      <c r="I29" s="41" t="s">
        <v>53</v>
      </c>
      <c r="J29" s="41" t="s">
        <v>84</v>
      </c>
      <c r="K29" s="41" t="s">
        <v>57</v>
      </c>
      <c r="L29" s="41" t="s">
        <v>58</v>
      </c>
      <c r="M29" s="41" t="s">
        <v>86</v>
      </c>
      <c r="N29" s="41" t="s">
        <v>60</v>
      </c>
      <c r="O29" s="42"/>
      <c r="P29" s="41" t="s">
        <v>66</v>
      </c>
      <c r="Q29" s="41" t="s">
        <v>112</v>
      </c>
      <c r="R29" s="35" t="s">
        <v>88</v>
      </c>
      <c r="S29" s="35" t="s">
        <v>89</v>
      </c>
      <c r="T29" s="35" t="s">
        <v>90</v>
      </c>
    </row>
    <row r="30" spans="1:20" ht="43.5" x14ac:dyDescent="0.35">
      <c r="A30" s="43" t="s">
        <v>80</v>
      </c>
      <c r="B30" s="44" t="s">
        <v>137</v>
      </c>
      <c r="C30" s="43">
        <v>1</v>
      </c>
      <c r="D30" s="43" t="s">
        <v>138</v>
      </c>
      <c r="E30" s="43" t="s">
        <v>47</v>
      </c>
      <c r="F30" s="43" t="s">
        <v>83</v>
      </c>
      <c r="G30" s="43" t="s">
        <v>84</v>
      </c>
      <c r="H30" s="43" t="s">
        <v>85</v>
      </c>
      <c r="I30" s="43" t="s">
        <v>53</v>
      </c>
      <c r="J30" s="43" t="s">
        <v>84</v>
      </c>
      <c r="K30" s="43" t="s">
        <v>57</v>
      </c>
      <c r="L30" s="43" t="s">
        <v>58</v>
      </c>
      <c r="M30" s="43" t="s">
        <v>86</v>
      </c>
      <c r="N30" s="43" t="s">
        <v>60</v>
      </c>
      <c r="O30" s="45"/>
      <c r="P30" s="43" t="s">
        <v>66</v>
      </c>
      <c r="Q30" s="43" t="s">
        <v>87</v>
      </c>
      <c r="R30" s="35" t="s">
        <v>88</v>
      </c>
      <c r="S30" s="35" t="s">
        <v>89</v>
      </c>
      <c r="T30" s="35" t="s">
        <v>90</v>
      </c>
    </row>
    <row r="31" spans="1:20" ht="43.5" x14ac:dyDescent="0.35">
      <c r="A31" s="43" t="s">
        <v>80</v>
      </c>
      <c r="B31" s="43" t="s">
        <v>137</v>
      </c>
      <c r="C31" s="43">
        <v>2</v>
      </c>
      <c r="D31" s="43" t="s">
        <v>139</v>
      </c>
      <c r="E31" s="43" t="s">
        <v>92</v>
      </c>
      <c r="F31" s="43" t="s">
        <v>140</v>
      </c>
      <c r="G31" s="43" t="s">
        <v>94</v>
      </c>
      <c r="H31" s="43" t="s">
        <v>95</v>
      </c>
      <c r="I31" s="43" t="s">
        <v>96</v>
      </c>
      <c r="J31" s="43" t="s">
        <v>97</v>
      </c>
      <c r="K31" s="43" t="s">
        <v>57</v>
      </c>
      <c r="L31" s="43" t="s">
        <v>58</v>
      </c>
      <c r="M31" s="43" t="s">
        <v>86</v>
      </c>
      <c r="N31" s="43" t="s">
        <v>60</v>
      </c>
      <c r="O31" s="45"/>
      <c r="P31" s="43" t="s">
        <v>66</v>
      </c>
      <c r="Q31" s="43" t="s">
        <v>98</v>
      </c>
      <c r="R31" s="35" t="s">
        <v>88</v>
      </c>
      <c r="S31" s="35" t="s">
        <v>89</v>
      </c>
      <c r="T31" s="35" t="s">
        <v>90</v>
      </c>
    </row>
    <row r="32" spans="1:20" ht="43.5" x14ac:dyDescent="0.35">
      <c r="A32" s="43" t="s">
        <v>80</v>
      </c>
      <c r="B32" s="43" t="s">
        <v>137</v>
      </c>
      <c r="C32" s="43">
        <v>3</v>
      </c>
      <c r="D32" s="43" t="s">
        <v>141</v>
      </c>
      <c r="E32" s="43" t="s">
        <v>100</v>
      </c>
      <c r="F32" s="43" t="s">
        <v>142</v>
      </c>
      <c r="G32" s="43" t="s">
        <v>84</v>
      </c>
      <c r="H32" s="43" t="s">
        <v>102</v>
      </c>
      <c r="I32" s="43" t="s">
        <v>96</v>
      </c>
      <c r="J32" s="43" t="s">
        <v>84</v>
      </c>
      <c r="K32" s="43" t="s">
        <v>57</v>
      </c>
      <c r="L32" s="43" t="s">
        <v>58</v>
      </c>
      <c r="M32" s="43" t="s">
        <v>86</v>
      </c>
      <c r="N32" s="43" t="s">
        <v>60</v>
      </c>
      <c r="O32" s="45"/>
      <c r="P32" s="43" t="s">
        <v>66</v>
      </c>
      <c r="Q32" s="43" t="s">
        <v>103</v>
      </c>
      <c r="R32" s="35" t="s">
        <v>88</v>
      </c>
      <c r="S32" s="35" t="s">
        <v>89</v>
      </c>
      <c r="T32" s="35" t="s">
        <v>90</v>
      </c>
    </row>
    <row r="33" spans="1:20" ht="43.5" x14ac:dyDescent="0.35">
      <c r="A33" s="43" t="s">
        <v>80</v>
      </c>
      <c r="B33" s="43" t="s">
        <v>137</v>
      </c>
      <c r="C33" s="43">
        <v>4</v>
      </c>
      <c r="D33" s="43" t="s">
        <v>104</v>
      </c>
      <c r="E33" s="43" t="s">
        <v>105</v>
      </c>
      <c r="F33" s="43" t="s">
        <v>83</v>
      </c>
      <c r="G33" s="43" t="s">
        <v>84</v>
      </c>
      <c r="H33" s="43" t="s">
        <v>106</v>
      </c>
      <c r="I33" s="43" t="s">
        <v>107</v>
      </c>
      <c r="J33" s="43" t="s">
        <v>84</v>
      </c>
      <c r="K33" s="43" t="s">
        <v>57</v>
      </c>
      <c r="L33" s="43" t="s">
        <v>58</v>
      </c>
      <c r="M33" s="43" t="s">
        <v>86</v>
      </c>
      <c r="N33" s="43" t="s">
        <v>60</v>
      </c>
      <c r="O33" s="45"/>
      <c r="P33" s="43" t="s">
        <v>66</v>
      </c>
      <c r="Q33" s="43" t="s">
        <v>108</v>
      </c>
      <c r="R33" s="35" t="s">
        <v>88</v>
      </c>
      <c r="S33" s="35" t="s">
        <v>89</v>
      </c>
      <c r="T33" s="35" t="s">
        <v>90</v>
      </c>
    </row>
    <row r="34" spans="1:20" ht="43.5" x14ac:dyDescent="0.35">
      <c r="A34" s="46" t="s">
        <v>80</v>
      </c>
      <c r="B34" s="46" t="s">
        <v>137</v>
      </c>
      <c r="C34" s="46">
        <v>5</v>
      </c>
      <c r="D34" s="46" t="s">
        <v>109</v>
      </c>
      <c r="E34" s="46" t="s">
        <v>105</v>
      </c>
      <c r="F34" s="46" t="s">
        <v>110</v>
      </c>
      <c r="G34" s="46" t="s">
        <v>84</v>
      </c>
      <c r="H34" s="46" t="s">
        <v>111</v>
      </c>
      <c r="I34" s="46" t="s">
        <v>53</v>
      </c>
      <c r="J34" s="46" t="s">
        <v>84</v>
      </c>
      <c r="K34" s="46" t="s">
        <v>57</v>
      </c>
      <c r="L34" s="46" t="s">
        <v>58</v>
      </c>
      <c r="M34" s="46" t="s">
        <v>86</v>
      </c>
      <c r="N34" s="46" t="s">
        <v>60</v>
      </c>
      <c r="O34" s="47"/>
      <c r="P34" s="46" t="s">
        <v>66</v>
      </c>
      <c r="Q34" s="46" t="s">
        <v>112</v>
      </c>
      <c r="R34" s="35" t="s">
        <v>88</v>
      </c>
      <c r="S34" s="35" t="s">
        <v>89</v>
      </c>
      <c r="T34" s="35" t="s">
        <v>90</v>
      </c>
    </row>
    <row r="35" spans="1:20" ht="43.5" x14ac:dyDescent="0.35">
      <c r="A35" s="38" t="s">
        <v>143</v>
      </c>
      <c r="B35" s="39" t="s">
        <v>144</v>
      </c>
      <c r="C35" s="38">
        <v>1</v>
      </c>
      <c r="D35" s="38" t="s">
        <v>145</v>
      </c>
      <c r="E35" s="38" t="s">
        <v>47</v>
      </c>
      <c r="F35" s="38" t="s">
        <v>83</v>
      </c>
      <c r="G35" s="38" t="s">
        <v>84</v>
      </c>
      <c r="H35" s="38" t="s">
        <v>85</v>
      </c>
      <c r="I35" s="38" t="s">
        <v>53</v>
      </c>
      <c r="J35" s="38" t="s">
        <v>84</v>
      </c>
      <c r="K35" s="38" t="s">
        <v>57</v>
      </c>
      <c r="L35" s="38" t="s">
        <v>58</v>
      </c>
      <c r="M35" s="38" t="s">
        <v>86</v>
      </c>
      <c r="N35" s="38" t="s">
        <v>60</v>
      </c>
      <c r="O35" s="40"/>
      <c r="P35" s="38" t="s">
        <v>66</v>
      </c>
      <c r="Q35" s="38" t="s">
        <v>87</v>
      </c>
      <c r="R35" s="35" t="s">
        <v>88</v>
      </c>
      <c r="S35" s="35" t="s">
        <v>89</v>
      </c>
      <c r="T35" s="35" t="s">
        <v>90</v>
      </c>
    </row>
    <row r="36" spans="1:20" ht="43.5" x14ac:dyDescent="0.35">
      <c r="A36" s="38" t="s">
        <v>143</v>
      </c>
      <c r="B36" s="38" t="s">
        <v>144</v>
      </c>
      <c r="C36" s="38">
        <v>2</v>
      </c>
      <c r="D36" s="38" t="s">
        <v>146</v>
      </c>
      <c r="E36" s="38" t="s">
        <v>92</v>
      </c>
      <c r="F36" s="38" t="s">
        <v>147</v>
      </c>
      <c r="G36" s="38" t="s">
        <v>94</v>
      </c>
      <c r="H36" s="38" t="s">
        <v>95</v>
      </c>
      <c r="I36" s="38" t="s">
        <v>96</v>
      </c>
      <c r="J36" s="38" t="s">
        <v>97</v>
      </c>
      <c r="K36" s="38" t="s">
        <v>57</v>
      </c>
      <c r="L36" s="38" t="s">
        <v>58</v>
      </c>
      <c r="M36" s="38" t="s">
        <v>86</v>
      </c>
      <c r="N36" s="38" t="s">
        <v>60</v>
      </c>
      <c r="O36" s="40"/>
      <c r="P36" s="38" t="s">
        <v>66</v>
      </c>
      <c r="Q36" s="38" t="s">
        <v>98</v>
      </c>
      <c r="R36" s="35" t="s">
        <v>88</v>
      </c>
      <c r="S36" s="35" t="s">
        <v>89</v>
      </c>
      <c r="T36" s="35" t="s">
        <v>90</v>
      </c>
    </row>
    <row r="37" spans="1:20" ht="43.5" x14ac:dyDescent="0.35">
      <c r="A37" s="38" t="s">
        <v>143</v>
      </c>
      <c r="B37" s="38" t="s">
        <v>144</v>
      </c>
      <c r="C37" s="38">
        <v>3</v>
      </c>
      <c r="D37" s="38" t="s">
        <v>148</v>
      </c>
      <c r="E37" s="38" t="s">
        <v>100</v>
      </c>
      <c r="F37" s="38" t="s">
        <v>149</v>
      </c>
      <c r="G37" s="38" t="s">
        <v>84</v>
      </c>
      <c r="H37" s="38" t="s">
        <v>102</v>
      </c>
      <c r="I37" s="38" t="s">
        <v>96</v>
      </c>
      <c r="J37" s="38" t="s">
        <v>84</v>
      </c>
      <c r="K37" s="38" t="s">
        <v>57</v>
      </c>
      <c r="L37" s="38" t="s">
        <v>58</v>
      </c>
      <c r="M37" s="38" t="s">
        <v>86</v>
      </c>
      <c r="N37" s="38" t="s">
        <v>60</v>
      </c>
      <c r="O37" s="40"/>
      <c r="P37" s="38" t="s">
        <v>66</v>
      </c>
      <c r="Q37" s="38" t="s">
        <v>103</v>
      </c>
      <c r="R37" s="35" t="s">
        <v>88</v>
      </c>
      <c r="S37" s="35" t="s">
        <v>89</v>
      </c>
      <c r="T37" s="35" t="s">
        <v>90</v>
      </c>
    </row>
    <row r="38" spans="1:20" ht="43.5" x14ac:dyDescent="0.35">
      <c r="A38" s="38" t="s">
        <v>143</v>
      </c>
      <c r="B38" s="38" t="s">
        <v>144</v>
      </c>
      <c r="C38" s="38">
        <v>4</v>
      </c>
      <c r="D38" s="38" t="s">
        <v>104</v>
      </c>
      <c r="E38" s="38" t="s">
        <v>105</v>
      </c>
      <c r="F38" s="38" t="s">
        <v>83</v>
      </c>
      <c r="G38" s="38" t="s">
        <v>84</v>
      </c>
      <c r="H38" s="38" t="s">
        <v>106</v>
      </c>
      <c r="I38" s="38" t="s">
        <v>107</v>
      </c>
      <c r="J38" s="38" t="s">
        <v>84</v>
      </c>
      <c r="K38" s="38" t="s">
        <v>57</v>
      </c>
      <c r="L38" s="38" t="s">
        <v>58</v>
      </c>
      <c r="M38" s="38" t="s">
        <v>86</v>
      </c>
      <c r="N38" s="38" t="s">
        <v>60</v>
      </c>
      <c r="O38" s="40"/>
      <c r="P38" s="38" t="s">
        <v>66</v>
      </c>
      <c r="Q38" s="38" t="s">
        <v>108</v>
      </c>
      <c r="R38" s="35" t="s">
        <v>88</v>
      </c>
      <c r="S38" s="35" t="s">
        <v>89</v>
      </c>
      <c r="T38" s="35" t="s">
        <v>90</v>
      </c>
    </row>
    <row r="39" spans="1:20" ht="43.5" x14ac:dyDescent="0.35">
      <c r="A39" s="41" t="s">
        <v>143</v>
      </c>
      <c r="B39" s="41" t="s">
        <v>144</v>
      </c>
      <c r="C39" s="41">
        <v>5</v>
      </c>
      <c r="D39" s="41" t="s">
        <v>109</v>
      </c>
      <c r="E39" s="41" t="s">
        <v>105</v>
      </c>
      <c r="F39" s="41" t="s">
        <v>110</v>
      </c>
      <c r="G39" s="41" t="s">
        <v>84</v>
      </c>
      <c r="H39" s="41" t="s">
        <v>111</v>
      </c>
      <c r="I39" s="41" t="s">
        <v>53</v>
      </c>
      <c r="J39" s="41" t="s">
        <v>84</v>
      </c>
      <c r="K39" s="41" t="s">
        <v>57</v>
      </c>
      <c r="L39" s="41" t="s">
        <v>58</v>
      </c>
      <c r="M39" s="41" t="s">
        <v>86</v>
      </c>
      <c r="N39" s="41" t="s">
        <v>60</v>
      </c>
      <c r="O39" s="42"/>
      <c r="P39" s="41" t="s">
        <v>66</v>
      </c>
      <c r="Q39" s="41" t="s">
        <v>112</v>
      </c>
      <c r="R39" s="35" t="s">
        <v>88</v>
      </c>
      <c r="S39" s="35" t="s">
        <v>89</v>
      </c>
      <c r="T39" s="35" t="s">
        <v>90</v>
      </c>
    </row>
    <row r="40" spans="1:20" ht="43.5" x14ac:dyDescent="0.35">
      <c r="A40" s="43" t="s">
        <v>143</v>
      </c>
      <c r="B40" s="44" t="s">
        <v>150</v>
      </c>
      <c r="C40" s="43">
        <v>1</v>
      </c>
      <c r="D40" s="43" t="s">
        <v>151</v>
      </c>
      <c r="E40" s="43" t="s">
        <v>47</v>
      </c>
      <c r="F40" s="43" t="s">
        <v>83</v>
      </c>
      <c r="G40" s="43" t="s">
        <v>84</v>
      </c>
      <c r="H40" s="43" t="s">
        <v>85</v>
      </c>
      <c r="I40" s="43" t="s">
        <v>53</v>
      </c>
      <c r="J40" s="43" t="s">
        <v>84</v>
      </c>
      <c r="K40" s="43" t="s">
        <v>57</v>
      </c>
      <c r="L40" s="43" t="s">
        <v>58</v>
      </c>
      <c r="M40" s="43" t="s">
        <v>86</v>
      </c>
      <c r="N40" s="43" t="s">
        <v>60</v>
      </c>
      <c r="O40" s="45"/>
      <c r="P40" s="43" t="s">
        <v>66</v>
      </c>
      <c r="Q40" s="43" t="s">
        <v>87</v>
      </c>
      <c r="R40" s="35" t="s">
        <v>88</v>
      </c>
      <c r="S40" s="35" t="s">
        <v>89</v>
      </c>
      <c r="T40" s="35" t="s">
        <v>90</v>
      </c>
    </row>
    <row r="41" spans="1:20" ht="43.5" x14ac:dyDescent="0.35">
      <c r="A41" s="43" t="s">
        <v>143</v>
      </c>
      <c r="B41" s="43" t="s">
        <v>150</v>
      </c>
      <c r="C41" s="43">
        <v>2</v>
      </c>
      <c r="D41" s="43" t="s">
        <v>152</v>
      </c>
      <c r="E41" s="43" t="s">
        <v>92</v>
      </c>
      <c r="F41" s="43" t="s">
        <v>153</v>
      </c>
      <c r="G41" s="43" t="s">
        <v>94</v>
      </c>
      <c r="H41" s="43" t="s">
        <v>95</v>
      </c>
      <c r="I41" s="43" t="s">
        <v>96</v>
      </c>
      <c r="J41" s="43" t="s">
        <v>97</v>
      </c>
      <c r="K41" s="43" t="s">
        <v>57</v>
      </c>
      <c r="L41" s="43" t="s">
        <v>58</v>
      </c>
      <c r="M41" s="43" t="s">
        <v>86</v>
      </c>
      <c r="N41" s="43" t="s">
        <v>60</v>
      </c>
      <c r="O41" s="45"/>
      <c r="P41" s="43" t="s">
        <v>66</v>
      </c>
      <c r="Q41" s="43" t="s">
        <v>98</v>
      </c>
      <c r="R41" s="35" t="s">
        <v>88</v>
      </c>
      <c r="S41" s="35" t="s">
        <v>89</v>
      </c>
      <c r="T41" s="35" t="s">
        <v>90</v>
      </c>
    </row>
    <row r="42" spans="1:20" ht="43.5" x14ac:dyDescent="0.35">
      <c r="A42" s="43" t="s">
        <v>143</v>
      </c>
      <c r="B42" s="43" t="s">
        <v>150</v>
      </c>
      <c r="C42" s="43">
        <v>3</v>
      </c>
      <c r="D42" s="43" t="s">
        <v>154</v>
      </c>
      <c r="E42" s="43" t="s">
        <v>100</v>
      </c>
      <c r="F42" s="43" t="s">
        <v>155</v>
      </c>
      <c r="G42" s="43" t="s">
        <v>84</v>
      </c>
      <c r="H42" s="43" t="s">
        <v>102</v>
      </c>
      <c r="I42" s="43" t="s">
        <v>96</v>
      </c>
      <c r="J42" s="43" t="s">
        <v>84</v>
      </c>
      <c r="K42" s="43" t="s">
        <v>57</v>
      </c>
      <c r="L42" s="43" t="s">
        <v>58</v>
      </c>
      <c r="M42" s="43" t="s">
        <v>86</v>
      </c>
      <c r="N42" s="43" t="s">
        <v>60</v>
      </c>
      <c r="O42" s="45"/>
      <c r="P42" s="43" t="s">
        <v>66</v>
      </c>
      <c r="Q42" s="43" t="s">
        <v>103</v>
      </c>
      <c r="R42" s="35" t="s">
        <v>88</v>
      </c>
      <c r="S42" s="35" t="s">
        <v>89</v>
      </c>
      <c r="T42" s="35" t="s">
        <v>90</v>
      </c>
    </row>
    <row r="43" spans="1:20" ht="43.5" x14ac:dyDescent="0.35">
      <c r="A43" s="43" t="s">
        <v>143</v>
      </c>
      <c r="B43" s="43" t="s">
        <v>150</v>
      </c>
      <c r="C43" s="43">
        <v>4</v>
      </c>
      <c r="D43" s="43" t="s">
        <v>104</v>
      </c>
      <c r="E43" s="43" t="s">
        <v>105</v>
      </c>
      <c r="F43" s="43" t="s">
        <v>83</v>
      </c>
      <c r="G43" s="43" t="s">
        <v>84</v>
      </c>
      <c r="H43" s="43" t="s">
        <v>106</v>
      </c>
      <c r="I43" s="43" t="s">
        <v>107</v>
      </c>
      <c r="J43" s="43" t="s">
        <v>84</v>
      </c>
      <c r="K43" s="43" t="s">
        <v>57</v>
      </c>
      <c r="L43" s="43" t="s">
        <v>58</v>
      </c>
      <c r="M43" s="43" t="s">
        <v>86</v>
      </c>
      <c r="N43" s="43" t="s">
        <v>60</v>
      </c>
      <c r="O43" s="45"/>
      <c r="P43" s="43" t="s">
        <v>66</v>
      </c>
      <c r="Q43" s="43" t="s">
        <v>108</v>
      </c>
      <c r="R43" s="35" t="s">
        <v>88</v>
      </c>
      <c r="S43" s="35" t="s">
        <v>89</v>
      </c>
      <c r="T43" s="35" t="s">
        <v>90</v>
      </c>
    </row>
    <row r="44" spans="1:20" ht="43.5" x14ac:dyDescent="0.35">
      <c r="A44" s="46" t="s">
        <v>143</v>
      </c>
      <c r="B44" s="46" t="s">
        <v>150</v>
      </c>
      <c r="C44" s="46">
        <v>5</v>
      </c>
      <c r="D44" s="46" t="s">
        <v>109</v>
      </c>
      <c r="E44" s="46" t="s">
        <v>105</v>
      </c>
      <c r="F44" s="46" t="s">
        <v>110</v>
      </c>
      <c r="G44" s="46" t="s">
        <v>84</v>
      </c>
      <c r="H44" s="46" t="s">
        <v>111</v>
      </c>
      <c r="I44" s="46" t="s">
        <v>53</v>
      </c>
      <c r="J44" s="46" t="s">
        <v>84</v>
      </c>
      <c r="K44" s="46" t="s">
        <v>57</v>
      </c>
      <c r="L44" s="46" t="s">
        <v>58</v>
      </c>
      <c r="M44" s="46" t="s">
        <v>86</v>
      </c>
      <c r="N44" s="46" t="s">
        <v>60</v>
      </c>
      <c r="O44" s="47"/>
      <c r="P44" s="46" t="s">
        <v>66</v>
      </c>
      <c r="Q44" s="46" t="s">
        <v>112</v>
      </c>
      <c r="R44" s="35" t="s">
        <v>88</v>
      </c>
      <c r="S44" s="35" t="s">
        <v>89</v>
      </c>
      <c r="T44" s="35" t="s">
        <v>90</v>
      </c>
    </row>
    <row r="45" spans="1:20" ht="43.5" x14ac:dyDescent="0.35">
      <c r="A45" s="38" t="s">
        <v>143</v>
      </c>
      <c r="B45" s="39" t="s">
        <v>156</v>
      </c>
      <c r="C45" s="38">
        <v>1</v>
      </c>
      <c r="D45" s="38" t="s">
        <v>157</v>
      </c>
      <c r="E45" s="38" t="s">
        <v>47</v>
      </c>
      <c r="F45" s="38" t="s">
        <v>83</v>
      </c>
      <c r="G45" s="38" t="s">
        <v>84</v>
      </c>
      <c r="H45" s="38" t="s">
        <v>85</v>
      </c>
      <c r="I45" s="38" t="s">
        <v>53</v>
      </c>
      <c r="J45" s="38" t="s">
        <v>84</v>
      </c>
      <c r="K45" s="38" t="s">
        <v>57</v>
      </c>
      <c r="L45" s="38" t="s">
        <v>58</v>
      </c>
      <c r="M45" s="38" t="s">
        <v>86</v>
      </c>
      <c r="N45" s="38" t="s">
        <v>60</v>
      </c>
      <c r="O45" s="40"/>
      <c r="P45" s="38" t="s">
        <v>66</v>
      </c>
      <c r="Q45" s="38" t="s">
        <v>87</v>
      </c>
      <c r="R45" s="35" t="s">
        <v>88</v>
      </c>
      <c r="S45" s="35" t="s">
        <v>89</v>
      </c>
      <c r="T45" s="35" t="s">
        <v>90</v>
      </c>
    </row>
    <row r="46" spans="1:20" ht="43.5" x14ac:dyDescent="0.35">
      <c r="A46" s="38" t="s">
        <v>143</v>
      </c>
      <c r="B46" s="38" t="s">
        <v>156</v>
      </c>
      <c r="C46" s="38">
        <v>2</v>
      </c>
      <c r="D46" s="38" t="s">
        <v>158</v>
      </c>
      <c r="E46" s="38" t="s">
        <v>92</v>
      </c>
      <c r="F46" s="38" t="s">
        <v>159</v>
      </c>
      <c r="G46" s="38" t="s">
        <v>94</v>
      </c>
      <c r="H46" s="38" t="s">
        <v>95</v>
      </c>
      <c r="I46" s="38" t="s">
        <v>96</v>
      </c>
      <c r="J46" s="38" t="s">
        <v>97</v>
      </c>
      <c r="K46" s="38" t="s">
        <v>57</v>
      </c>
      <c r="L46" s="38" t="s">
        <v>58</v>
      </c>
      <c r="M46" s="38" t="s">
        <v>86</v>
      </c>
      <c r="N46" s="38" t="s">
        <v>60</v>
      </c>
      <c r="O46" s="40"/>
      <c r="P46" s="38" t="s">
        <v>66</v>
      </c>
      <c r="Q46" s="38" t="s">
        <v>98</v>
      </c>
      <c r="R46" s="35" t="s">
        <v>88</v>
      </c>
      <c r="S46" s="35" t="s">
        <v>89</v>
      </c>
      <c r="T46" s="35" t="s">
        <v>90</v>
      </c>
    </row>
    <row r="47" spans="1:20" ht="43.5" x14ac:dyDescent="0.35">
      <c r="A47" s="38" t="s">
        <v>143</v>
      </c>
      <c r="B47" s="38" t="s">
        <v>156</v>
      </c>
      <c r="C47" s="38">
        <v>3</v>
      </c>
      <c r="D47" s="38" t="s">
        <v>160</v>
      </c>
      <c r="E47" s="38" t="s">
        <v>100</v>
      </c>
      <c r="F47" s="38" t="s">
        <v>161</v>
      </c>
      <c r="G47" s="38" t="s">
        <v>84</v>
      </c>
      <c r="H47" s="38" t="s">
        <v>102</v>
      </c>
      <c r="I47" s="38" t="s">
        <v>96</v>
      </c>
      <c r="J47" s="38" t="s">
        <v>84</v>
      </c>
      <c r="K47" s="38" t="s">
        <v>57</v>
      </c>
      <c r="L47" s="38" t="s">
        <v>58</v>
      </c>
      <c r="M47" s="38" t="s">
        <v>86</v>
      </c>
      <c r="N47" s="38" t="s">
        <v>60</v>
      </c>
      <c r="O47" s="40"/>
      <c r="P47" s="38" t="s">
        <v>66</v>
      </c>
      <c r="Q47" s="38" t="s">
        <v>103</v>
      </c>
      <c r="R47" s="35" t="s">
        <v>88</v>
      </c>
      <c r="S47" s="35" t="s">
        <v>89</v>
      </c>
      <c r="T47" s="35" t="s">
        <v>90</v>
      </c>
    </row>
    <row r="48" spans="1:20" ht="43.5" x14ac:dyDescent="0.35">
      <c r="A48" s="38" t="s">
        <v>143</v>
      </c>
      <c r="B48" s="38" t="s">
        <v>156</v>
      </c>
      <c r="C48" s="38">
        <v>4</v>
      </c>
      <c r="D48" s="38" t="s">
        <v>104</v>
      </c>
      <c r="E48" s="38" t="s">
        <v>105</v>
      </c>
      <c r="F48" s="38" t="s">
        <v>83</v>
      </c>
      <c r="G48" s="38" t="s">
        <v>84</v>
      </c>
      <c r="H48" s="38" t="s">
        <v>106</v>
      </c>
      <c r="I48" s="38" t="s">
        <v>107</v>
      </c>
      <c r="J48" s="38" t="s">
        <v>84</v>
      </c>
      <c r="K48" s="38" t="s">
        <v>57</v>
      </c>
      <c r="L48" s="38" t="s">
        <v>58</v>
      </c>
      <c r="M48" s="38" t="s">
        <v>86</v>
      </c>
      <c r="N48" s="38" t="s">
        <v>60</v>
      </c>
      <c r="O48" s="40"/>
      <c r="P48" s="38" t="s">
        <v>66</v>
      </c>
      <c r="Q48" s="38" t="s">
        <v>108</v>
      </c>
      <c r="R48" s="35" t="s">
        <v>88</v>
      </c>
      <c r="S48" s="35" t="s">
        <v>89</v>
      </c>
      <c r="T48" s="35" t="s">
        <v>90</v>
      </c>
    </row>
    <row r="49" spans="1:20" ht="43.5" x14ac:dyDescent="0.35">
      <c r="A49" s="41" t="s">
        <v>143</v>
      </c>
      <c r="B49" s="41" t="s">
        <v>156</v>
      </c>
      <c r="C49" s="41">
        <v>5</v>
      </c>
      <c r="D49" s="41" t="s">
        <v>109</v>
      </c>
      <c r="E49" s="41" t="s">
        <v>105</v>
      </c>
      <c r="F49" s="41" t="s">
        <v>110</v>
      </c>
      <c r="G49" s="41" t="s">
        <v>84</v>
      </c>
      <c r="H49" s="41" t="s">
        <v>111</v>
      </c>
      <c r="I49" s="41" t="s">
        <v>53</v>
      </c>
      <c r="J49" s="41" t="s">
        <v>84</v>
      </c>
      <c r="K49" s="41" t="s">
        <v>57</v>
      </c>
      <c r="L49" s="41" t="s">
        <v>58</v>
      </c>
      <c r="M49" s="41" t="s">
        <v>86</v>
      </c>
      <c r="N49" s="41" t="s">
        <v>60</v>
      </c>
      <c r="O49" s="42"/>
      <c r="P49" s="41" t="s">
        <v>66</v>
      </c>
      <c r="Q49" s="41" t="s">
        <v>112</v>
      </c>
      <c r="R49" s="35" t="s">
        <v>88</v>
      </c>
      <c r="S49" s="35" t="s">
        <v>89</v>
      </c>
      <c r="T49" s="35" t="s">
        <v>90</v>
      </c>
    </row>
    <row r="50" spans="1:20" ht="43.5" x14ac:dyDescent="0.35">
      <c r="A50" s="43" t="s">
        <v>143</v>
      </c>
      <c r="B50" s="44" t="s">
        <v>162</v>
      </c>
      <c r="C50" s="43">
        <v>1</v>
      </c>
      <c r="D50" s="43" t="s">
        <v>163</v>
      </c>
      <c r="E50" s="43" t="s">
        <v>47</v>
      </c>
      <c r="F50" s="43" t="s">
        <v>83</v>
      </c>
      <c r="G50" s="43" t="s">
        <v>84</v>
      </c>
      <c r="H50" s="43" t="s">
        <v>85</v>
      </c>
      <c r="I50" s="43" t="s">
        <v>53</v>
      </c>
      <c r="J50" s="43" t="s">
        <v>84</v>
      </c>
      <c r="K50" s="43" t="s">
        <v>57</v>
      </c>
      <c r="L50" s="43" t="s">
        <v>58</v>
      </c>
      <c r="M50" s="43" t="s">
        <v>86</v>
      </c>
      <c r="N50" s="43" t="s">
        <v>60</v>
      </c>
      <c r="O50" s="45"/>
      <c r="P50" s="43" t="s">
        <v>66</v>
      </c>
      <c r="Q50" s="43" t="s">
        <v>87</v>
      </c>
      <c r="R50" s="35" t="s">
        <v>88</v>
      </c>
      <c r="S50" s="35" t="s">
        <v>89</v>
      </c>
      <c r="T50" s="35" t="s">
        <v>90</v>
      </c>
    </row>
    <row r="51" spans="1:20" ht="43.5" x14ac:dyDescent="0.35">
      <c r="A51" s="43" t="s">
        <v>143</v>
      </c>
      <c r="B51" s="43" t="s">
        <v>162</v>
      </c>
      <c r="C51" s="43">
        <v>2</v>
      </c>
      <c r="D51" s="43" t="s">
        <v>139</v>
      </c>
      <c r="E51" s="43" t="s">
        <v>92</v>
      </c>
      <c r="F51" s="43" t="s">
        <v>164</v>
      </c>
      <c r="G51" s="43" t="s">
        <v>94</v>
      </c>
      <c r="H51" s="43" t="s">
        <v>95</v>
      </c>
      <c r="I51" s="43" t="s">
        <v>96</v>
      </c>
      <c r="J51" s="43" t="s">
        <v>97</v>
      </c>
      <c r="K51" s="43" t="s">
        <v>57</v>
      </c>
      <c r="L51" s="43" t="s">
        <v>58</v>
      </c>
      <c r="M51" s="43" t="s">
        <v>86</v>
      </c>
      <c r="N51" s="43" t="s">
        <v>60</v>
      </c>
      <c r="O51" s="45"/>
      <c r="P51" s="43" t="s">
        <v>66</v>
      </c>
      <c r="Q51" s="43" t="s">
        <v>98</v>
      </c>
      <c r="R51" s="35" t="s">
        <v>88</v>
      </c>
      <c r="S51" s="35" t="s">
        <v>89</v>
      </c>
      <c r="T51" s="35" t="s">
        <v>90</v>
      </c>
    </row>
    <row r="52" spans="1:20" ht="43.5" x14ac:dyDescent="0.35">
      <c r="A52" s="43" t="s">
        <v>143</v>
      </c>
      <c r="B52" s="43" t="s">
        <v>162</v>
      </c>
      <c r="C52" s="43">
        <v>3</v>
      </c>
      <c r="D52" s="43" t="s">
        <v>165</v>
      </c>
      <c r="E52" s="43" t="s">
        <v>100</v>
      </c>
      <c r="F52" s="43" t="s">
        <v>166</v>
      </c>
      <c r="G52" s="43" t="s">
        <v>84</v>
      </c>
      <c r="H52" s="43" t="s">
        <v>102</v>
      </c>
      <c r="I52" s="43" t="s">
        <v>96</v>
      </c>
      <c r="J52" s="43" t="s">
        <v>84</v>
      </c>
      <c r="K52" s="43" t="s">
        <v>57</v>
      </c>
      <c r="L52" s="43" t="s">
        <v>58</v>
      </c>
      <c r="M52" s="43" t="s">
        <v>86</v>
      </c>
      <c r="N52" s="43" t="s">
        <v>60</v>
      </c>
      <c r="O52" s="45"/>
      <c r="P52" s="43" t="s">
        <v>66</v>
      </c>
      <c r="Q52" s="43" t="s">
        <v>103</v>
      </c>
      <c r="R52" s="35" t="s">
        <v>88</v>
      </c>
      <c r="S52" s="35" t="s">
        <v>89</v>
      </c>
      <c r="T52" s="35" t="s">
        <v>90</v>
      </c>
    </row>
    <row r="53" spans="1:20" ht="43.5" x14ac:dyDescent="0.35">
      <c r="A53" s="43" t="s">
        <v>143</v>
      </c>
      <c r="B53" s="43" t="s">
        <v>162</v>
      </c>
      <c r="C53" s="43">
        <v>4</v>
      </c>
      <c r="D53" s="43" t="s">
        <v>104</v>
      </c>
      <c r="E53" s="43" t="s">
        <v>105</v>
      </c>
      <c r="F53" s="43" t="s">
        <v>83</v>
      </c>
      <c r="G53" s="43" t="s">
        <v>84</v>
      </c>
      <c r="H53" s="43" t="s">
        <v>106</v>
      </c>
      <c r="I53" s="43" t="s">
        <v>107</v>
      </c>
      <c r="J53" s="43" t="s">
        <v>84</v>
      </c>
      <c r="K53" s="43" t="s">
        <v>57</v>
      </c>
      <c r="L53" s="43" t="s">
        <v>58</v>
      </c>
      <c r="M53" s="43" t="s">
        <v>86</v>
      </c>
      <c r="N53" s="43" t="s">
        <v>60</v>
      </c>
      <c r="O53" s="45"/>
      <c r="P53" s="43" t="s">
        <v>66</v>
      </c>
      <c r="Q53" s="43" t="s">
        <v>108</v>
      </c>
      <c r="R53" s="35" t="s">
        <v>88</v>
      </c>
      <c r="S53" s="35" t="s">
        <v>89</v>
      </c>
      <c r="T53" s="35" t="s">
        <v>90</v>
      </c>
    </row>
    <row r="54" spans="1:20" ht="43.5" x14ac:dyDescent="0.35">
      <c r="A54" s="46" t="s">
        <v>143</v>
      </c>
      <c r="B54" s="46" t="s">
        <v>162</v>
      </c>
      <c r="C54" s="46">
        <v>5</v>
      </c>
      <c r="D54" s="46" t="s">
        <v>109</v>
      </c>
      <c r="E54" s="46" t="s">
        <v>105</v>
      </c>
      <c r="F54" s="46" t="s">
        <v>110</v>
      </c>
      <c r="G54" s="46" t="s">
        <v>84</v>
      </c>
      <c r="H54" s="46" t="s">
        <v>111</v>
      </c>
      <c r="I54" s="46" t="s">
        <v>53</v>
      </c>
      <c r="J54" s="46" t="s">
        <v>84</v>
      </c>
      <c r="K54" s="46" t="s">
        <v>57</v>
      </c>
      <c r="L54" s="46" t="s">
        <v>58</v>
      </c>
      <c r="M54" s="46" t="s">
        <v>86</v>
      </c>
      <c r="N54" s="46" t="s">
        <v>60</v>
      </c>
      <c r="O54" s="47"/>
      <c r="P54" s="46" t="s">
        <v>66</v>
      </c>
      <c r="Q54" s="46" t="s">
        <v>112</v>
      </c>
      <c r="R54" s="35" t="s">
        <v>88</v>
      </c>
      <c r="S54" s="35" t="s">
        <v>89</v>
      </c>
      <c r="T54" s="35" t="s">
        <v>90</v>
      </c>
    </row>
    <row r="55" spans="1:20" ht="43.5" x14ac:dyDescent="0.35">
      <c r="A55" s="38" t="s">
        <v>143</v>
      </c>
      <c r="B55" s="39" t="s">
        <v>167</v>
      </c>
      <c r="C55" s="38">
        <v>1</v>
      </c>
      <c r="D55" s="38" t="s">
        <v>168</v>
      </c>
      <c r="E55" s="38" t="s">
        <v>47</v>
      </c>
      <c r="F55" s="38" t="s">
        <v>83</v>
      </c>
      <c r="G55" s="38" t="s">
        <v>84</v>
      </c>
      <c r="H55" s="38" t="s">
        <v>85</v>
      </c>
      <c r="I55" s="38" t="s">
        <v>53</v>
      </c>
      <c r="J55" s="38" t="s">
        <v>84</v>
      </c>
      <c r="K55" s="38" t="s">
        <v>57</v>
      </c>
      <c r="L55" s="38" t="s">
        <v>58</v>
      </c>
      <c r="M55" s="38" t="s">
        <v>86</v>
      </c>
      <c r="N55" s="38" t="s">
        <v>60</v>
      </c>
      <c r="O55" s="40"/>
      <c r="P55" s="38" t="s">
        <v>66</v>
      </c>
      <c r="Q55" s="38" t="s">
        <v>87</v>
      </c>
      <c r="R55" s="35" t="s">
        <v>88</v>
      </c>
      <c r="S55" s="35" t="s">
        <v>89</v>
      </c>
      <c r="T55" s="35" t="s">
        <v>90</v>
      </c>
    </row>
    <row r="56" spans="1:20" ht="43.5" x14ac:dyDescent="0.35">
      <c r="A56" s="38" t="s">
        <v>143</v>
      </c>
      <c r="B56" s="38" t="s">
        <v>167</v>
      </c>
      <c r="C56" s="38">
        <v>2</v>
      </c>
      <c r="D56" s="38" t="s">
        <v>169</v>
      </c>
      <c r="E56" s="38" t="s">
        <v>92</v>
      </c>
      <c r="F56" s="38" t="s">
        <v>170</v>
      </c>
      <c r="G56" s="38" t="s">
        <v>94</v>
      </c>
      <c r="H56" s="38" t="s">
        <v>95</v>
      </c>
      <c r="I56" s="38" t="s">
        <v>96</v>
      </c>
      <c r="J56" s="38" t="s">
        <v>97</v>
      </c>
      <c r="K56" s="38" t="s">
        <v>57</v>
      </c>
      <c r="L56" s="38" t="s">
        <v>58</v>
      </c>
      <c r="M56" s="38" t="s">
        <v>86</v>
      </c>
      <c r="N56" s="38" t="s">
        <v>60</v>
      </c>
      <c r="O56" s="40"/>
      <c r="P56" s="38" t="s">
        <v>66</v>
      </c>
      <c r="Q56" s="38" t="s">
        <v>98</v>
      </c>
      <c r="R56" s="35" t="s">
        <v>88</v>
      </c>
      <c r="S56" s="35" t="s">
        <v>89</v>
      </c>
      <c r="T56" s="35" t="s">
        <v>90</v>
      </c>
    </row>
    <row r="57" spans="1:20" ht="43.5" x14ac:dyDescent="0.35">
      <c r="A57" s="38" t="s">
        <v>143</v>
      </c>
      <c r="B57" s="38" t="s">
        <v>167</v>
      </c>
      <c r="C57" s="38">
        <v>3</v>
      </c>
      <c r="D57" s="38" t="s">
        <v>129</v>
      </c>
      <c r="E57" s="38" t="s">
        <v>100</v>
      </c>
      <c r="F57" s="38" t="s">
        <v>171</v>
      </c>
      <c r="G57" s="38" t="s">
        <v>84</v>
      </c>
      <c r="H57" s="38" t="s">
        <v>102</v>
      </c>
      <c r="I57" s="38" t="s">
        <v>96</v>
      </c>
      <c r="J57" s="38" t="s">
        <v>84</v>
      </c>
      <c r="K57" s="38" t="s">
        <v>57</v>
      </c>
      <c r="L57" s="38" t="s">
        <v>58</v>
      </c>
      <c r="M57" s="38" t="s">
        <v>86</v>
      </c>
      <c r="N57" s="38" t="s">
        <v>60</v>
      </c>
      <c r="O57" s="40"/>
      <c r="P57" s="38" t="s">
        <v>66</v>
      </c>
      <c r="Q57" s="38" t="s">
        <v>103</v>
      </c>
      <c r="R57" s="35" t="s">
        <v>88</v>
      </c>
      <c r="S57" s="35" t="s">
        <v>89</v>
      </c>
      <c r="T57" s="35" t="s">
        <v>90</v>
      </c>
    </row>
    <row r="58" spans="1:20" ht="43.5" x14ac:dyDescent="0.35">
      <c r="A58" s="38" t="s">
        <v>143</v>
      </c>
      <c r="B58" s="38" t="s">
        <v>167</v>
      </c>
      <c r="C58" s="38">
        <v>4</v>
      </c>
      <c r="D58" s="38" t="s">
        <v>104</v>
      </c>
      <c r="E58" s="38" t="s">
        <v>105</v>
      </c>
      <c r="F58" s="38" t="s">
        <v>83</v>
      </c>
      <c r="G58" s="38" t="s">
        <v>84</v>
      </c>
      <c r="H58" s="38" t="s">
        <v>106</v>
      </c>
      <c r="I58" s="38" t="s">
        <v>107</v>
      </c>
      <c r="J58" s="38" t="s">
        <v>84</v>
      </c>
      <c r="K58" s="38" t="s">
        <v>57</v>
      </c>
      <c r="L58" s="38" t="s">
        <v>58</v>
      </c>
      <c r="M58" s="38" t="s">
        <v>86</v>
      </c>
      <c r="N58" s="38" t="s">
        <v>60</v>
      </c>
      <c r="O58" s="40"/>
      <c r="P58" s="38" t="s">
        <v>66</v>
      </c>
      <c r="Q58" s="38" t="s">
        <v>108</v>
      </c>
      <c r="R58" s="35" t="s">
        <v>88</v>
      </c>
      <c r="S58" s="35" t="s">
        <v>89</v>
      </c>
      <c r="T58" s="35" t="s">
        <v>90</v>
      </c>
    </row>
    <row r="59" spans="1:20" ht="43.5" x14ac:dyDescent="0.35">
      <c r="A59" s="41" t="s">
        <v>143</v>
      </c>
      <c r="B59" s="41" t="s">
        <v>167</v>
      </c>
      <c r="C59" s="41">
        <v>5</v>
      </c>
      <c r="D59" s="41" t="s">
        <v>109</v>
      </c>
      <c r="E59" s="41" t="s">
        <v>105</v>
      </c>
      <c r="F59" s="41" t="s">
        <v>110</v>
      </c>
      <c r="G59" s="41" t="s">
        <v>84</v>
      </c>
      <c r="H59" s="41" t="s">
        <v>111</v>
      </c>
      <c r="I59" s="41" t="s">
        <v>53</v>
      </c>
      <c r="J59" s="41" t="s">
        <v>84</v>
      </c>
      <c r="K59" s="41" t="s">
        <v>57</v>
      </c>
      <c r="L59" s="41" t="s">
        <v>58</v>
      </c>
      <c r="M59" s="41" t="s">
        <v>86</v>
      </c>
      <c r="N59" s="41" t="s">
        <v>60</v>
      </c>
      <c r="O59" s="42"/>
      <c r="P59" s="41" t="s">
        <v>66</v>
      </c>
      <c r="Q59" s="41" t="s">
        <v>112</v>
      </c>
      <c r="R59" s="35" t="s">
        <v>88</v>
      </c>
      <c r="S59" s="35" t="s">
        <v>89</v>
      </c>
      <c r="T59" s="35" t="s">
        <v>90</v>
      </c>
    </row>
    <row r="60" spans="1:20" ht="43.5" x14ac:dyDescent="0.35">
      <c r="A60" s="43" t="s">
        <v>143</v>
      </c>
      <c r="B60" s="44" t="s">
        <v>172</v>
      </c>
      <c r="C60" s="43">
        <v>1</v>
      </c>
      <c r="D60" s="43" t="s">
        <v>173</v>
      </c>
      <c r="E60" s="43" t="s">
        <v>47</v>
      </c>
      <c r="F60" s="43" t="s">
        <v>83</v>
      </c>
      <c r="G60" s="43" t="s">
        <v>84</v>
      </c>
      <c r="H60" s="43" t="s">
        <v>85</v>
      </c>
      <c r="I60" s="43" t="s">
        <v>53</v>
      </c>
      <c r="J60" s="43" t="s">
        <v>84</v>
      </c>
      <c r="K60" s="43" t="s">
        <v>57</v>
      </c>
      <c r="L60" s="43" t="s">
        <v>58</v>
      </c>
      <c r="M60" s="43" t="s">
        <v>86</v>
      </c>
      <c r="N60" s="43" t="s">
        <v>60</v>
      </c>
      <c r="O60" s="45"/>
      <c r="P60" s="43" t="s">
        <v>66</v>
      </c>
      <c r="Q60" s="43" t="s">
        <v>87</v>
      </c>
      <c r="R60" s="35" t="s">
        <v>88</v>
      </c>
      <c r="S60" s="35" t="s">
        <v>89</v>
      </c>
      <c r="T60" s="35" t="s">
        <v>90</v>
      </c>
    </row>
    <row r="61" spans="1:20" ht="43.5" x14ac:dyDescent="0.35">
      <c r="A61" s="43" t="s">
        <v>143</v>
      </c>
      <c r="B61" s="43" t="s">
        <v>172</v>
      </c>
      <c r="C61" s="43">
        <v>2</v>
      </c>
      <c r="D61" s="43" t="s">
        <v>174</v>
      </c>
      <c r="E61" s="43" t="s">
        <v>92</v>
      </c>
      <c r="F61" s="43" t="s">
        <v>175</v>
      </c>
      <c r="G61" s="43" t="s">
        <v>94</v>
      </c>
      <c r="H61" s="43" t="s">
        <v>95</v>
      </c>
      <c r="I61" s="43" t="s">
        <v>96</v>
      </c>
      <c r="J61" s="43" t="s">
        <v>97</v>
      </c>
      <c r="K61" s="43" t="s">
        <v>57</v>
      </c>
      <c r="L61" s="43" t="s">
        <v>58</v>
      </c>
      <c r="M61" s="43" t="s">
        <v>86</v>
      </c>
      <c r="N61" s="43" t="s">
        <v>60</v>
      </c>
      <c r="O61" s="45"/>
      <c r="P61" s="43" t="s">
        <v>66</v>
      </c>
      <c r="Q61" s="43" t="s">
        <v>98</v>
      </c>
      <c r="R61" s="35" t="s">
        <v>88</v>
      </c>
      <c r="S61" s="35" t="s">
        <v>89</v>
      </c>
      <c r="T61" s="35" t="s">
        <v>90</v>
      </c>
    </row>
    <row r="62" spans="1:20" ht="43.5" x14ac:dyDescent="0.35">
      <c r="A62" s="43" t="s">
        <v>143</v>
      </c>
      <c r="B62" s="43" t="s">
        <v>172</v>
      </c>
      <c r="C62" s="43">
        <v>3</v>
      </c>
      <c r="D62" s="43" t="s">
        <v>176</v>
      </c>
      <c r="E62" s="43" t="s">
        <v>100</v>
      </c>
      <c r="F62" s="43" t="s">
        <v>177</v>
      </c>
      <c r="G62" s="43" t="s">
        <v>84</v>
      </c>
      <c r="H62" s="43" t="s">
        <v>102</v>
      </c>
      <c r="I62" s="43" t="s">
        <v>96</v>
      </c>
      <c r="J62" s="43" t="s">
        <v>84</v>
      </c>
      <c r="K62" s="43" t="s">
        <v>57</v>
      </c>
      <c r="L62" s="43" t="s">
        <v>58</v>
      </c>
      <c r="M62" s="43" t="s">
        <v>86</v>
      </c>
      <c r="N62" s="43" t="s">
        <v>60</v>
      </c>
      <c r="O62" s="45"/>
      <c r="P62" s="43" t="s">
        <v>66</v>
      </c>
      <c r="Q62" s="43" t="s">
        <v>103</v>
      </c>
      <c r="R62" s="35" t="s">
        <v>88</v>
      </c>
      <c r="S62" s="35" t="s">
        <v>89</v>
      </c>
      <c r="T62" s="35" t="s">
        <v>90</v>
      </c>
    </row>
    <row r="63" spans="1:20" ht="43.5" x14ac:dyDescent="0.35">
      <c r="A63" s="43" t="s">
        <v>143</v>
      </c>
      <c r="B63" s="43" t="s">
        <v>172</v>
      </c>
      <c r="C63" s="43">
        <v>4</v>
      </c>
      <c r="D63" s="43" t="s">
        <v>104</v>
      </c>
      <c r="E63" s="43" t="s">
        <v>105</v>
      </c>
      <c r="F63" s="43" t="s">
        <v>83</v>
      </c>
      <c r="G63" s="43" t="s">
        <v>84</v>
      </c>
      <c r="H63" s="43" t="s">
        <v>106</v>
      </c>
      <c r="I63" s="43" t="s">
        <v>107</v>
      </c>
      <c r="J63" s="43" t="s">
        <v>84</v>
      </c>
      <c r="K63" s="43" t="s">
        <v>57</v>
      </c>
      <c r="L63" s="43" t="s">
        <v>58</v>
      </c>
      <c r="M63" s="43" t="s">
        <v>86</v>
      </c>
      <c r="N63" s="43" t="s">
        <v>60</v>
      </c>
      <c r="O63" s="45"/>
      <c r="P63" s="43" t="s">
        <v>66</v>
      </c>
      <c r="Q63" s="43" t="s">
        <v>108</v>
      </c>
      <c r="R63" s="35" t="s">
        <v>88</v>
      </c>
      <c r="S63" s="35" t="s">
        <v>89</v>
      </c>
      <c r="T63" s="35" t="s">
        <v>90</v>
      </c>
    </row>
    <row r="64" spans="1:20" ht="43.5" x14ac:dyDescent="0.35">
      <c r="A64" s="46" t="s">
        <v>143</v>
      </c>
      <c r="B64" s="46" t="s">
        <v>172</v>
      </c>
      <c r="C64" s="46">
        <v>5</v>
      </c>
      <c r="D64" s="46" t="s">
        <v>109</v>
      </c>
      <c r="E64" s="46" t="s">
        <v>105</v>
      </c>
      <c r="F64" s="46" t="s">
        <v>110</v>
      </c>
      <c r="G64" s="46" t="s">
        <v>84</v>
      </c>
      <c r="H64" s="46" t="s">
        <v>111</v>
      </c>
      <c r="I64" s="46" t="s">
        <v>53</v>
      </c>
      <c r="J64" s="46" t="s">
        <v>84</v>
      </c>
      <c r="K64" s="46" t="s">
        <v>57</v>
      </c>
      <c r="L64" s="46" t="s">
        <v>58</v>
      </c>
      <c r="M64" s="46" t="s">
        <v>86</v>
      </c>
      <c r="N64" s="46" t="s">
        <v>60</v>
      </c>
      <c r="O64" s="47"/>
      <c r="P64" s="46" t="s">
        <v>66</v>
      </c>
      <c r="Q64" s="46" t="s">
        <v>112</v>
      </c>
      <c r="R64" s="35" t="s">
        <v>88</v>
      </c>
      <c r="S64" s="35" t="s">
        <v>89</v>
      </c>
      <c r="T64" s="35" t="s">
        <v>90</v>
      </c>
    </row>
    <row r="65" spans="1:20" ht="43.5" x14ac:dyDescent="0.35">
      <c r="A65" s="38" t="s">
        <v>143</v>
      </c>
      <c r="B65" s="39" t="s">
        <v>178</v>
      </c>
      <c r="C65" s="38">
        <v>1</v>
      </c>
      <c r="D65" s="38" t="s">
        <v>179</v>
      </c>
      <c r="E65" s="38" t="s">
        <v>47</v>
      </c>
      <c r="F65" s="38" t="s">
        <v>83</v>
      </c>
      <c r="G65" s="38" t="s">
        <v>84</v>
      </c>
      <c r="H65" s="38" t="s">
        <v>85</v>
      </c>
      <c r="I65" s="38" t="s">
        <v>53</v>
      </c>
      <c r="J65" s="38" t="s">
        <v>84</v>
      </c>
      <c r="K65" s="38" t="s">
        <v>57</v>
      </c>
      <c r="L65" s="38" t="s">
        <v>58</v>
      </c>
      <c r="M65" s="38" t="s">
        <v>86</v>
      </c>
      <c r="N65" s="38" t="s">
        <v>60</v>
      </c>
      <c r="O65" s="40"/>
      <c r="P65" s="38" t="s">
        <v>66</v>
      </c>
      <c r="Q65" s="38" t="s">
        <v>87</v>
      </c>
      <c r="R65" s="35" t="s">
        <v>88</v>
      </c>
      <c r="S65" s="35" t="s">
        <v>89</v>
      </c>
      <c r="T65" s="35" t="s">
        <v>90</v>
      </c>
    </row>
    <row r="66" spans="1:20" ht="43.5" x14ac:dyDescent="0.35">
      <c r="A66" s="38" t="s">
        <v>143</v>
      </c>
      <c r="B66" s="38" t="s">
        <v>178</v>
      </c>
      <c r="C66" s="38">
        <v>2</v>
      </c>
      <c r="D66" s="38" t="s">
        <v>139</v>
      </c>
      <c r="E66" s="38" t="s">
        <v>92</v>
      </c>
      <c r="F66" s="38" t="s">
        <v>180</v>
      </c>
      <c r="G66" s="38" t="s">
        <v>94</v>
      </c>
      <c r="H66" s="38" t="s">
        <v>95</v>
      </c>
      <c r="I66" s="38" t="s">
        <v>96</v>
      </c>
      <c r="J66" s="38" t="s">
        <v>97</v>
      </c>
      <c r="K66" s="38" t="s">
        <v>57</v>
      </c>
      <c r="L66" s="38" t="s">
        <v>58</v>
      </c>
      <c r="M66" s="38" t="s">
        <v>86</v>
      </c>
      <c r="N66" s="38" t="s">
        <v>60</v>
      </c>
      <c r="O66" s="40"/>
      <c r="P66" s="38" t="s">
        <v>66</v>
      </c>
      <c r="Q66" s="38" t="s">
        <v>98</v>
      </c>
      <c r="R66" s="35" t="s">
        <v>88</v>
      </c>
      <c r="S66" s="35" t="s">
        <v>89</v>
      </c>
      <c r="T66" s="35" t="s">
        <v>90</v>
      </c>
    </row>
    <row r="67" spans="1:20" ht="43.5" x14ac:dyDescent="0.35">
      <c r="A67" s="38" t="s">
        <v>143</v>
      </c>
      <c r="B67" s="38" t="s">
        <v>178</v>
      </c>
      <c r="C67" s="38">
        <v>3</v>
      </c>
      <c r="D67" s="38" t="s">
        <v>129</v>
      </c>
      <c r="E67" s="38" t="s">
        <v>100</v>
      </c>
      <c r="F67" s="38" t="s">
        <v>181</v>
      </c>
      <c r="G67" s="38" t="s">
        <v>84</v>
      </c>
      <c r="H67" s="38" t="s">
        <v>102</v>
      </c>
      <c r="I67" s="38" t="s">
        <v>96</v>
      </c>
      <c r="J67" s="38" t="s">
        <v>84</v>
      </c>
      <c r="K67" s="38" t="s">
        <v>57</v>
      </c>
      <c r="L67" s="38" t="s">
        <v>58</v>
      </c>
      <c r="M67" s="38" t="s">
        <v>86</v>
      </c>
      <c r="N67" s="38" t="s">
        <v>60</v>
      </c>
      <c r="O67" s="40"/>
      <c r="P67" s="38" t="s">
        <v>66</v>
      </c>
      <c r="Q67" s="38" t="s">
        <v>103</v>
      </c>
      <c r="R67" s="35" t="s">
        <v>88</v>
      </c>
      <c r="S67" s="35" t="s">
        <v>89</v>
      </c>
      <c r="T67" s="35" t="s">
        <v>90</v>
      </c>
    </row>
    <row r="68" spans="1:20" ht="43.5" x14ac:dyDescent="0.35">
      <c r="A68" s="38" t="s">
        <v>143</v>
      </c>
      <c r="B68" s="38" t="s">
        <v>178</v>
      </c>
      <c r="C68" s="38">
        <v>4</v>
      </c>
      <c r="D68" s="38" t="s">
        <v>104</v>
      </c>
      <c r="E68" s="38" t="s">
        <v>105</v>
      </c>
      <c r="F68" s="38" t="s">
        <v>83</v>
      </c>
      <c r="G68" s="38" t="s">
        <v>84</v>
      </c>
      <c r="H68" s="38" t="s">
        <v>106</v>
      </c>
      <c r="I68" s="38" t="s">
        <v>107</v>
      </c>
      <c r="J68" s="38" t="s">
        <v>84</v>
      </c>
      <c r="K68" s="38" t="s">
        <v>57</v>
      </c>
      <c r="L68" s="38" t="s">
        <v>58</v>
      </c>
      <c r="M68" s="38" t="s">
        <v>86</v>
      </c>
      <c r="N68" s="38" t="s">
        <v>60</v>
      </c>
      <c r="O68" s="40"/>
      <c r="P68" s="38" t="s">
        <v>66</v>
      </c>
      <c r="Q68" s="38" t="s">
        <v>108</v>
      </c>
      <c r="R68" s="35" t="s">
        <v>88</v>
      </c>
      <c r="S68" s="35" t="s">
        <v>89</v>
      </c>
      <c r="T68" s="35" t="s">
        <v>90</v>
      </c>
    </row>
    <row r="69" spans="1:20" ht="43.5" x14ac:dyDescent="0.35">
      <c r="A69" s="41" t="s">
        <v>143</v>
      </c>
      <c r="B69" s="41" t="s">
        <v>178</v>
      </c>
      <c r="C69" s="41">
        <v>5</v>
      </c>
      <c r="D69" s="41" t="s">
        <v>109</v>
      </c>
      <c r="E69" s="41" t="s">
        <v>105</v>
      </c>
      <c r="F69" s="41" t="s">
        <v>110</v>
      </c>
      <c r="G69" s="41" t="s">
        <v>84</v>
      </c>
      <c r="H69" s="41" t="s">
        <v>111</v>
      </c>
      <c r="I69" s="41" t="s">
        <v>53</v>
      </c>
      <c r="J69" s="41" t="s">
        <v>84</v>
      </c>
      <c r="K69" s="41" t="s">
        <v>57</v>
      </c>
      <c r="L69" s="41" t="s">
        <v>58</v>
      </c>
      <c r="M69" s="41" t="s">
        <v>86</v>
      </c>
      <c r="N69" s="41" t="s">
        <v>60</v>
      </c>
      <c r="O69" s="42"/>
      <c r="P69" s="41" t="s">
        <v>66</v>
      </c>
      <c r="Q69" s="41" t="s">
        <v>112</v>
      </c>
      <c r="R69" s="35" t="s">
        <v>88</v>
      </c>
      <c r="S69" s="35" t="s">
        <v>89</v>
      </c>
      <c r="T69" s="35" t="s">
        <v>90</v>
      </c>
    </row>
    <row r="70" spans="1:20" ht="43.5" x14ac:dyDescent="0.35">
      <c r="A70" s="43" t="s">
        <v>143</v>
      </c>
      <c r="B70" s="44" t="s">
        <v>182</v>
      </c>
      <c r="C70" s="43">
        <v>1</v>
      </c>
      <c r="D70" s="43" t="s">
        <v>183</v>
      </c>
      <c r="E70" s="43" t="s">
        <v>47</v>
      </c>
      <c r="F70" s="43" t="s">
        <v>83</v>
      </c>
      <c r="G70" s="43" t="s">
        <v>84</v>
      </c>
      <c r="H70" s="43" t="s">
        <v>85</v>
      </c>
      <c r="I70" s="43" t="s">
        <v>53</v>
      </c>
      <c r="J70" s="43" t="s">
        <v>84</v>
      </c>
      <c r="K70" s="43" t="s">
        <v>57</v>
      </c>
      <c r="L70" s="43" t="s">
        <v>58</v>
      </c>
      <c r="M70" s="43" t="s">
        <v>86</v>
      </c>
      <c r="N70" s="43" t="s">
        <v>60</v>
      </c>
      <c r="O70" s="45"/>
      <c r="P70" s="43" t="s">
        <v>66</v>
      </c>
      <c r="Q70" s="43" t="s">
        <v>87</v>
      </c>
      <c r="R70" s="35" t="s">
        <v>88</v>
      </c>
      <c r="S70" s="35" t="s">
        <v>89</v>
      </c>
      <c r="T70" s="35" t="s">
        <v>90</v>
      </c>
    </row>
    <row r="71" spans="1:20" ht="43.5" x14ac:dyDescent="0.35">
      <c r="A71" s="43" t="s">
        <v>143</v>
      </c>
      <c r="B71" s="43" t="s">
        <v>182</v>
      </c>
      <c r="C71" s="43">
        <v>2</v>
      </c>
      <c r="D71" s="43" t="s">
        <v>184</v>
      </c>
      <c r="E71" s="43" t="s">
        <v>92</v>
      </c>
      <c r="F71" s="43" t="s">
        <v>185</v>
      </c>
      <c r="G71" s="43" t="s">
        <v>94</v>
      </c>
      <c r="H71" s="43" t="s">
        <v>95</v>
      </c>
      <c r="I71" s="43" t="s">
        <v>96</v>
      </c>
      <c r="J71" s="43" t="s">
        <v>97</v>
      </c>
      <c r="K71" s="43" t="s">
        <v>57</v>
      </c>
      <c r="L71" s="43" t="s">
        <v>58</v>
      </c>
      <c r="M71" s="43" t="s">
        <v>86</v>
      </c>
      <c r="N71" s="43" t="s">
        <v>60</v>
      </c>
      <c r="O71" s="45"/>
      <c r="P71" s="43" t="s">
        <v>66</v>
      </c>
      <c r="Q71" s="43" t="s">
        <v>98</v>
      </c>
      <c r="R71" s="35" t="s">
        <v>88</v>
      </c>
      <c r="S71" s="35" t="s">
        <v>89</v>
      </c>
      <c r="T71" s="35" t="s">
        <v>90</v>
      </c>
    </row>
    <row r="72" spans="1:20" ht="43.5" x14ac:dyDescent="0.35">
      <c r="A72" s="43" t="s">
        <v>143</v>
      </c>
      <c r="B72" s="43" t="s">
        <v>182</v>
      </c>
      <c r="C72" s="43">
        <v>3</v>
      </c>
      <c r="D72" s="43" t="s">
        <v>99</v>
      </c>
      <c r="E72" s="43" t="s">
        <v>100</v>
      </c>
      <c r="F72" s="43" t="s">
        <v>186</v>
      </c>
      <c r="G72" s="43" t="s">
        <v>84</v>
      </c>
      <c r="H72" s="43" t="s">
        <v>102</v>
      </c>
      <c r="I72" s="43" t="s">
        <v>96</v>
      </c>
      <c r="J72" s="43" t="s">
        <v>84</v>
      </c>
      <c r="K72" s="43" t="s">
        <v>57</v>
      </c>
      <c r="L72" s="43" t="s">
        <v>58</v>
      </c>
      <c r="M72" s="43" t="s">
        <v>86</v>
      </c>
      <c r="N72" s="43" t="s">
        <v>60</v>
      </c>
      <c r="O72" s="45"/>
      <c r="P72" s="43" t="s">
        <v>66</v>
      </c>
      <c r="Q72" s="43" t="s">
        <v>103</v>
      </c>
      <c r="R72" s="35" t="s">
        <v>88</v>
      </c>
      <c r="S72" s="35" t="s">
        <v>89</v>
      </c>
      <c r="T72" s="35" t="s">
        <v>90</v>
      </c>
    </row>
    <row r="73" spans="1:20" ht="43.5" x14ac:dyDescent="0.35">
      <c r="A73" s="43" t="s">
        <v>143</v>
      </c>
      <c r="B73" s="43" t="s">
        <v>182</v>
      </c>
      <c r="C73" s="43">
        <v>4</v>
      </c>
      <c r="D73" s="43" t="s">
        <v>104</v>
      </c>
      <c r="E73" s="43" t="s">
        <v>105</v>
      </c>
      <c r="F73" s="43" t="s">
        <v>83</v>
      </c>
      <c r="G73" s="43" t="s">
        <v>84</v>
      </c>
      <c r="H73" s="43" t="s">
        <v>106</v>
      </c>
      <c r="I73" s="43" t="s">
        <v>107</v>
      </c>
      <c r="J73" s="43" t="s">
        <v>84</v>
      </c>
      <c r="K73" s="43" t="s">
        <v>57</v>
      </c>
      <c r="L73" s="43" t="s">
        <v>58</v>
      </c>
      <c r="M73" s="43" t="s">
        <v>86</v>
      </c>
      <c r="N73" s="43" t="s">
        <v>60</v>
      </c>
      <c r="O73" s="45"/>
      <c r="P73" s="43" t="s">
        <v>66</v>
      </c>
      <c r="Q73" s="43" t="s">
        <v>108</v>
      </c>
      <c r="R73" s="35" t="s">
        <v>88</v>
      </c>
      <c r="S73" s="35" t="s">
        <v>89</v>
      </c>
      <c r="T73" s="35" t="s">
        <v>90</v>
      </c>
    </row>
    <row r="74" spans="1:20" ht="43.5" x14ac:dyDescent="0.35">
      <c r="A74" s="46" t="s">
        <v>143</v>
      </c>
      <c r="B74" s="46" t="s">
        <v>182</v>
      </c>
      <c r="C74" s="46">
        <v>5</v>
      </c>
      <c r="D74" s="46" t="s">
        <v>109</v>
      </c>
      <c r="E74" s="46" t="s">
        <v>105</v>
      </c>
      <c r="F74" s="46" t="s">
        <v>110</v>
      </c>
      <c r="G74" s="46" t="s">
        <v>84</v>
      </c>
      <c r="H74" s="46" t="s">
        <v>111</v>
      </c>
      <c r="I74" s="46" t="s">
        <v>53</v>
      </c>
      <c r="J74" s="46" t="s">
        <v>84</v>
      </c>
      <c r="K74" s="46" t="s">
        <v>57</v>
      </c>
      <c r="L74" s="46" t="s">
        <v>58</v>
      </c>
      <c r="M74" s="46" t="s">
        <v>86</v>
      </c>
      <c r="N74" s="46" t="s">
        <v>60</v>
      </c>
      <c r="O74" s="47"/>
      <c r="P74" s="46" t="s">
        <v>66</v>
      </c>
      <c r="Q74" s="46" t="s">
        <v>112</v>
      </c>
      <c r="R74" s="35" t="s">
        <v>88</v>
      </c>
      <c r="S74" s="35" t="s">
        <v>89</v>
      </c>
      <c r="T74" s="35" t="s">
        <v>90</v>
      </c>
    </row>
    <row r="75" spans="1:20" ht="43.5" x14ac:dyDescent="0.35">
      <c r="A75" s="38" t="s">
        <v>143</v>
      </c>
      <c r="B75" s="39" t="s">
        <v>187</v>
      </c>
      <c r="C75" s="38">
        <v>1</v>
      </c>
      <c r="D75" s="38" t="s">
        <v>188</v>
      </c>
      <c r="E75" s="38" t="s">
        <v>47</v>
      </c>
      <c r="F75" s="38" t="s">
        <v>83</v>
      </c>
      <c r="G75" s="38" t="s">
        <v>84</v>
      </c>
      <c r="H75" s="38" t="s">
        <v>85</v>
      </c>
      <c r="I75" s="38" t="s">
        <v>53</v>
      </c>
      <c r="J75" s="38" t="s">
        <v>84</v>
      </c>
      <c r="K75" s="38" t="s">
        <v>57</v>
      </c>
      <c r="L75" s="38" t="s">
        <v>58</v>
      </c>
      <c r="M75" s="38" t="s">
        <v>86</v>
      </c>
      <c r="N75" s="38" t="s">
        <v>60</v>
      </c>
      <c r="O75" s="40"/>
      <c r="P75" s="38" t="s">
        <v>66</v>
      </c>
      <c r="Q75" s="38" t="s">
        <v>87</v>
      </c>
      <c r="R75" s="35" t="s">
        <v>88</v>
      </c>
      <c r="S75" s="35" t="s">
        <v>89</v>
      </c>
      <c r="T75" s="35" t="s">
        <v>90</v>
      </c>
    </row>
    <row r="76" spans="1:20" ht="43.5" x14ac:dyDescent="0.35">
      <c r="A76" s="38" t="s">
        <v>143</v>
      </c>
      <c r="B76" s="38" t="s">
        <v>187</v>
      </c>
      <c r="C76" s="38">
        <v>2</v>
      </c>
      <c r="D76" s="38" t="s">
        <v>189</v>
      </c>
      <c r="E76" s="38" t="s">
        <v>92</v>
      </c>
      <c r="F76" s="38" t="s">
        <v>190</v>
      </c>
      <c r="G76" s="38" t="s">
        <v>94</v>
      </c>
      <c r="H76" s="38" t="s">
        <v>95</v>
      </c>
      <c r="I76" s="38" t="s">
        <v>96</v>
      </c>
      <c r="J76" s="38" t="s">
        <v>97</v>
      </c>
      <c r="K76" s="38" t="s">
        <v>57</v>
      </c>
      <c r="L76" s="38" t="s">
        <v>58</v>
      </c>
      <c r="M76" s="38" t="s">
        <v>86</v>
      </c>
      <c r="N76" s="38" t="s">
        <v>60</v>
      </c>
      <c r="O76" s="40"/>
      <c r="P76" s="38" t="s">
        <v>66</v>
      </c>
      <c r="Q76" s="38" t="s">
        <v>98</v>
      </c>
      <c r="R76" s="35" t="s">
        <v>88</v>
      </c>
      <c r="S76" s="35" t="s">
        <v>89</v>
      </c>
      <c r="T76" s="35" t="s">
        <v>90</v>
      </c>
    </row>
    <row r="77" spans="1:20" ht="43.5" x14ac:dyDescent="0.35">
      <c r="A77" s="38" t="s">
        <v>143</v>
      </c>
      <c r="B77" s="38" t="s">
        <v>187</v>
      </c>
      <c r="C77" s="38">
        <v>3</v>
      </c>
      <c r="D77" s="38" t="s">
        <v>129</v>
      </c>
      <c r="E77" s="38" t="s">
        <v>100</v>
      </c>
      <c r="F77" s="38" t="s">
        <v>191</v>
      </c>
      <c r="G77" s="38" t="s">
        <v>84</v>
      </c>
      <c r="H77" s="38" t="s">
        <v>102</v>
      </c>
      <c r="I77" s="38" t="s">
        <v>96</v>
      </c>
      <c r="J77" s="38" t="s">
        <v>84</v>
      </c>
      <c r="K77" s="38" t="s">
        <v>57</v>
      </c>
      <c r="L77" s="38" t="s">
        <v>58</v>
      </c>
      <c r="M77" s="38" t="s">
        <v>86</v>
      </c>
      <c r="N77" s="38" t="s">
        <v>60</v>
      </c>
      <c r="O77" s="40"/>
      <c r="P77" s="38" t="s">
        <v>66</v>
      </c>
      <c r="Q77" s="38" t="s">
        <v>103</v>
      </c>
      <c r="R77" s="35" t="s">
        <v>88</v>
      </c>
      <c r="S77" s="35" t="s">
        <v>89</v>
      </c>
      <c r="T77" s="35" t="s">
        <v>90</v>
      </c>
    </row>
    <row r="78" spans="1:20" ht="43.5" x14ac:dyDescent="0.35">
      <c r="A78" s="38" t="s">
        <v>143</v>
      </c>
      <c r="B78" s="38" t="s">
        <v>187</v>
      </c>
      <c r="C78" s="38">
        <v>4</v>
      </c>
      <c r="D78" s="38" t="s">
        <v>104</v>
      </c>
      <c r="E78" s="38" t="s">
        <v>105</v>
      </c>
      <c r="F78" s="38" t="s">
        <v>83</v>
      </c>
      <c r="G78" s="38" t="s">
        <v>84</v>
      </c>
      <c r="H78" s="38" t="s">
        <v>106</v>
      </c>
      <c r="I78" s="38" t="s">
        <v>107</v>
      </c>
      <c r="J78" s="38" t="s">
        <v>84</v>
      </c>
      <c r="K78" s="38" t="s">
        <v>57</v>
      </c>
      <c r="L78" s="38" t="s">
        <v>58</v>
      </c>
      <c r="M78" s="38" t="s">
        <v>86</v>
      </c>
      <c r="N78" s="38" t="s">
        <v>60</v>
      </c>
      <c r="O78" s="40"/>
      <c r="P78" s="38" t="s">
        <v>66</v>
      </c>
      <c r="Q78" s="38" t="s">
        <v>108</v>
      </c>
      <c r="R78" s="35" t="s">
        <v>88</v>
      </c>
      <c r="S78" s="35" t="s">
        <v>89</v>
      </c>
      <c r="T78" s="35" t="s">
        <v>90</v>
      </c>
    </row>
    <row r="79" spans="1:20" ht="43.5" x14ac:dyDescent="0.35">
      <c r="A79" s="41" t="s">
        <v>143</v>
      </c>
      <c r="B79" s="41" t="s">
        <v>187</v>
      </c>
      <c r="C79" s="41">
        <v>5</v>
      </c>
      <c r="D79" s="41" t="s">
        <v>109</v>
      </c>
      <c r="E79" s="41" t="s">
        <v>105</v>
      </c>
      <c r="F79" s="41" t="s">
        <v>110</v>
      </c>
      <c r="G79" s="41" t="s">
        <v>84</v>
      </c>
      <c r="H79" s="41" t="s">
        <v>111</v>
      </c>
      <c r="I79" s="41" t="s">
        <v>53</v>
      </c>
      <c r="J79" s="41" t="s">
        <v>84</v>
      </c>
      <c r="K79" s="41" t="s">
        <v>57</v>
      </c>
      <c r="L79" s="41" t="s">
        <v>58</v>
      </c>
      <c r="M79" s="41" t="s">
        <v>86</v>
      </c>
      <c r="N79" s="41" t="s">
        <v>60</v>
      </c>
      <c r="O79" s="42"/>
      <c r="P79" s="41" t="s">
        <v>66</v>
      </c>
      <c r="Q79" s="41" t="s">
        <v>112</v>
      </c>
      <c r="R79" s="35" t="s">
        <v>88</v>
      </c>
      <c r="S79" s="35" t="s">
        <v>89</v>
      </c>
      <c r="T79" s="35" t="s">
        <v>90</v>
      </c>
    </row>
    <row r="80" spans="1:20" ht="43.5" x14ac:dyDescent="0.35">
      <c r="A80" s="43" t="s">
        <v>143</v>
      </c>
      <c r="B80" s="44" t="s">
        <v>192</v>
      </c>
      <c r="C80" s="43">
        <v>1</v>
      </c>
      <c r="D80" s="43" t="s">
        <v>193</v>
      </c>
      <c r="E80" s="43" t="s">
        <v>47</v>
      </c>
      <c r="F80" s="43" t="s">
        <v>83</v>
      </c>
      <c r="G80" s="43" t="s">
        <v>84</v>
      </c>
      <c r="H80" s="43" t="s">
        <v>85</v>
      </c>
      <c r="I80" s="43" t="s">
        <v>53</v>
      </c>
      <c r="J80" s="43" t="s">
        <v>84</v>
      </c>
      <c r="K80" s="43" t="s">
        <v>57</v>
      </c>
      <c r="L80" s="43" t="s">
        <v>58</v>
      </c>
      <c r="M80" s="43" t="s">
        <v>86</v>
      </c>
      <c r="N80" s="43" t="s">
        <v>60</v>
      </c>
      <c r="O80" s="45"/>
      <c r="P80" s="43" t="s">
        <v>66</v>
      </c>
      <c r="Q80" s="43" t="s">
        <v>87</v>
      </c>
      <c r="R80" s="35" t="s">
        <v>88</v>
      </c>
      <c r="S80" s="35" t="s">
        <v>89</v>
      </c>
      <c r="T80" s="35" t="s">
        <v>90</v>
      </c>
    </row>
    <row r="81" spans="1:20" ht="43.5" x14ac:dyDescent="0.35">
      <c r="A81" s="43" t="s">
        <v>143</v>
      </c>
      <c r="B81" s="43" t="s">
        <v>192</v>
      </c>
      <c r="C81" s="43">
        <v>2</v>
      </c>
      <c r="D81" s="43" t="s">
        <v>194</v>
      </c>
      <c r="E81" s="43" t="s">
        <v>92</v>
      </c>
      <c r="F81" s="43" t="s">
        <v>195</v>
      </c>
      <c r="G81" s="43" t="s">
        <v>94</v>
      </c>
      <c r="H81" s="43" t="s">
        <v>95</v>
      </c>
      <c r="I81" s="43" t="s">
        <v>96</v>
      </c>
      <c r="J81" s="43" t="s">
        <v>97</v>
      </c>
      <c r="K81" s="43" t="s">
        <v>57</v>
      </c>
      <c r="L81" s="43" t="s">
        <v>58</v>
      </c>
      <c r="M81" s="43" t="s">
        <v>86</v>
      </c>
      <c r="N81" s="43" t="s">
        <v>60</v>
      </c>
      <c r="O81" s="45"/>
      <c r="P81" s="43" t="s">
        <v>66</v>
      </c>
      <c r="Q81" s="43" t="s">
        <v>98</v>
      </c>
      <c r="R81" s="35" t="s">
        <v>88</v>
      </c>
      <c r="S81" s="35" t="s">
        <v>89</v>
      </c>
      <c r="T81" s="35" t="s">
        <v>90</v>
      </c>
    </row>
    <row r="82" spans="1:20" ht="43.5" x14ac:dyDescent="0.35">
      <c r="A82" s="43" t="s">
        <v>143</v>
      </c>
      <c r="B82" s="43" t="s">
        <v>192</v>
      </c>
      <c r="C82" s="43">
        <v>3</v>
      </c>
      <c r="D82" s="43" t="s">
        <v>129</v>
      </c>
      <c r="E82" s="43" t="s">
        <v>100</v>
      </c>
      <c r="F82" s="43" t="s">
        <v>196</v>
      </c>
      <c r="G82" s="43" t="s">
        <v>84</v>
      </c>
      <c r="H82" s="43" t="s">
        <v>102</v>
      </c>
      <c r="I82" s="43" t="s">
        <v>96</v>
      </c>
      <c r="J82" s="43" t="s">
        <v>84</v>
      </c>
      <c r="K82" s="43" t="s">
        <v>57</v>
      </c>
      <c r="L82" s="43" t="s">
        <v>58</v>
      </c>
      <c r="M82" s="43" t="s">
        <v>86</v>
      </c>
      <c r="N82" s="43" t="s">
        <v>60</v>
      </c>
      <c r="O82" s="45"/>
      <c r="P82" s="43" t="s">
        <v>66</v>
      </c>
      <c r="Q82" s="43" t="s">
        <v>103</v>
      </c>
      <c r="R82" s="35" t="s">
        <v>88</v>
      </c>
      <c r="S82" s="35" t="s">
        <v>89</v>
      </c>
      <c r="T82" s="35" t="s">
        <v>90</v>
      </c>
    </row>
    <row r="83" spans="1:20" ht="43.5" x14ac:dyDescent="0.35">
      <c r="A83" s="43" t="s">
        <v>143</v>
      </c>
      <c r="B83" s="43" t="s">
        <v>192</v>
      </c>
      <c r="C83" s="43">
        <v>4</v>
      </c>
      <c r="D83" s="43" t="s">
        <v>104</v>
      </c>
      <c r="E83" s="43" t="s">
        <v>105</v>
      </c>
      <c r="F83" s="43" t="s">
        <v>83</v>
      </c>
      <c r="G83" s="43" t="s">
        <v>84</v>
      </c>
      <c r="H83" s="43" t="s">
        <v>106</v>
      </c>
      <c r="I83" s="43" t="s">
        <v>107</v>
      </c>
      <c r="J83" s="43" t="s">
        <v>84</v>
      </c>
      <c r="K83" s="43" t="s">
        <v>57</v>
      </c>
      <c r="L83" s="43" t="s">
        <v>58</v>
      </c>
      <c r="M83" s="43" t="s">
        <v>86</v>
      </c>
      <c r="N83" s="43" t="s">
        <v>60</v>
      </c>
      <c r="O83" s="45"/>
      <c r="P83" s="43" t="s">
        <v>66</v>
      </c>
      <c r="Q83" s="43" t="s">
        <v>108</v>
      </c>
      <c r="R83" s="35" t="s">
        <v>88</v>
      </c>
      <c r="S83" s="35" t="s">
        <v>89</v>
      </c>
      <c r="T83" s="35" t="s">
        <v>90</v>
      </c>
    </row>
    <row r="84" spans="1:20" ht="43.5" x14ac:dyDescent="0.35">
      <c r="A84" s="46" t="s">
        <v>143</v>
      </c>
      <c r="B84" s="46" t="s">
        <v>192</v>
      </c>
      <c r="C84" s="46">
        <v>5</v>
      </c>
      <c r="D84" s="46" t="s">
        <v>109</v>
      </c>
      <c r="E84" s="46" t="s">
        <v>105</v>
      </c>
      <c r="F84" s="46" t="s">
        <v>110</v>
      </c>
      <c r="G84" s="46" t="s">
        <v>84</v>
      </c>
      <c r="H84" s="46" t="s">
        <v>111</v>
      </c>
      <c r="I84" s="46" t="s">
        <v>53</v>
      </c>
      <c r="J84" s="46" t="s">
        <v>84</v>
      </c>
      <c r="K84" s="46" t="s">
        <v>57</v>
      </c>
      <c r="L84" s="46" t="s">
        <v>58</v>
      </c>
      <c r="M84" s="46" t="s">
        <v>86</v>
      </c>
      <c r="N84" s="46" t="s">
        <v>60</v>
      </c>
      <c r="O84" s="47"/>
      <c r="P84" s="46" t="s">
        <v>66</v>
      </c>
      <c r="Q84" s="46" t="s">
        <v>112</v>
      </c>
      <c r="R84" s="35" t="s">
        <v>88</v>
      </c>
      <c r="S84" s="35" t="s">
        <v>89</v>
      </c>
      <c r="T84" s="35" t="s">
        <v>90</v>
      </c>
    </row>
    <row r="85" spans="1:20" ht="43.5" x14ac:dyDescent="0.35">
      <c r="A85" s="38" t="s">
        <v>143</v>
      </c>
      <c r="B85" s="39" t="s">
        <v>197</v>
      </c>
      <c r="C85" s="38">
        <v>1</v>
      </c>
      <c r="D85" s="38" t="s">
        <v>198</v>
      </c>
      <c r="E85" s="38" t="s">
        <v>47</v>
      </c>
      <c r="F85" s="38" t="s">
        <v>83</v>
      </c>
      <c r="G85" s="38" t="s">
        <v>84</v>
      </c>
      <c r="H85" s="38" t="s">
        <v>85</v>
      </c>
      <c r="I85" s="38" t="s">
        <v>53</v>
      </c>
      <c r="J85" s="38" t="s">
        <v>84</v>
      </c>
      <c r="K85" s="38" t="s">
        <v>57</v>
      </c>
      <c r="L85" s="38" t="s">
        <v>58</v>
      </c>
      <c r="M85" s="38" t="s">
        <v>86</v>
      </c>
      <c r="N85" s="38" t="s">
        <v>60</v>
      </c>
      <c r="O85" s="40"/>
      <c r="P85" s="38" t="s">
        <v>66</v>
      </c>
      <c r="Q85" s="38" t="s">
        <v>87</v>
      </c>
      <c r="R85" s="35" t="s">
        <v>88</v>
      </c>
      <c r="S85" s="35" t="s">
        <v>89</v>
      </c>
      <c r="T85" s="35" t="s">
        <v>90</v>
      </c>
    </row>
    <row r="86" spans="1:20" ht="43.5" x14ac:dyDescent="0.35">
      <c r="A86" s="38" t="s">
        <v>143</v>
      </c>
      <c r="B86" s="38" t="s">
        <v>197</v>
      </c>
      <c r="C86" s="38">
        <v>2</v>
      </c>
      <c r="D86" s="38" t="s">
        <v>139</v>
      </c>
      <c r="E86" s="38" t="s">
        <v>92</v>
      </c>
      <c r="F86" s="38" t="s">
        <v>199</v>
      </c>
      <c r="G86" s="38" t="s">
        <v>94</v>
      </c>
      <c r="H86" s="38" t="s">
        <v>95</v>
      </c>
      <c r="I86" s="38" t="s">
        <v>96</v>
      </c>
      <c r="J86" s="38" t="s">
        <v>97</v>
      </c>
      <c r="K86" s="38" t="s">
        <v>57</v>
      </c>
      <c r="L86" s="38" t="s">
        <v>58</v>
      </c>
      <c r="M86" s="38" t="s">
        <v>86</v>
      </c>
      <c r="N86" s="38" t="s">
        <v>60</v>
      </c>
      <c r="O86" s="40"/>
      <c r="P86" s="38" t="s">
        <v>66</v>
      </c>
      <c r="Q86" s="38" t="s">
        <v>98</v>
      </c>
      <c r="R86" s="35" t="s">
        <v>88</v>
      </c>
      <c r="S86" s="35" t="s">
        <v>89</v>
      </c>
      <c r="T86" s="35" t="s">
        <v>90</v>
      </c>
    </row>
    <row r="87" spans="1:20" ht="43.5" x14ac:dyDescent="0.35">
      <c r="A87" s="38" t="s">
        <v>143</v>
      </c>
      <c r="B87" s="38" t="s">
        <v>197</v>
      </c>
      <c r="C87" s="38">
        <v>3</v>
      </c>
      <c r="D87" s="38" t="s">
        <v>129</v>
      </c>
      <c r="E87" s="38" t="s">
        <v>100</v>
      </c>
      <c r="F87" s="38" t="s">
        <v>200</v>
      </c>
      <c r="G87" s="38" t="s">
        <v>84</v>
      </c>
      <c r="H87" s="38" t="s">
        <v>102</v>
      </c>
      <c r="I87" s="38" t="s">
        <v>96</v>
      </c>
      <c r="J87" s="38" t="s">
        <v>84</v>
      </c>
      <c r="K87" s="38" t="s">
        <v>57</v>
      </c>
      <c r="L87" s="38" t="s">
        <v>58</v>
      </c>
      <c r="M87" s="38" t="s">
        <v>86</v>
      </c>
      <c r="N87" s="38" t="s">
        <v>60</v>
      </c>
      <c r="O87" s="40"/>
      <c r="P87" s="38" t="s">
        <v>66</v>
      </c>
      <c r="Q87" s="38" t="s">
        <v>103</v>
      </c>
      <c r="R87" s="35" t="s">
        <v>88</v>
      </c>
      <c r="S87" s="35" t="s">
        <v>89</v>
      </c>
      <c r="T87" s="35" t="s">
        <v>90</v>
      </c>
    </row>
    <row r="88" spans="1:20" ht="43.5" x14ac:dyDescent="0.35">
      <c r="A88" s="38" t="s">
        <v>143</v>
      </c>
      <c r="B88" s="38" t="s">
        <v>197</v>
      </c>
      <c r="C88" s="38">
        <v>4</v>
      </c>
      <c r="D88" s="38" t="s">
        <v>104</v>
      </c>
      <c r="E88" s="38" t="s">
        <v>105</v>
      </c>
      <c r="F88" s="38" t="s">
        <v>83</v>
      </c>
      <c r="G88" s="38" t="s">
        <v>84</v>
      </c>
      <c r="H88" s="38" t="s">
        <v>106</v>
      </c>
      <c r="I88" s="38" t="s">
        <v>107</v>
      </c>
      <c r="J88" s="38" t="s">
        <v>84</v>
      </c>
      <c r="K88" s="38" t="s">
        <v>57</v>
      </c>
      <c r="L88" s="38" t="s">
        <v>58</v>
      </c>
      <c r="M88" s="38" t="s">
        <v>86</v>
      </c>
      <c r="N88" s="38" t="s">
        <v>60</v>
      </c>
      <c r="O88" s="40"/>
      <c r="P88" s="38" t="s">
        <v>66</v>
      </c>
      <c r="Q88" s="38" t="s">
        <v>108</v>
      </c>
      <c r="R88" s="35" t="s">
        <v>88</v>
      </c>
      <c r="S88" s="35" t="s">
        <v>89</v>
      </c>
      <c r="T88" s="35" t="s">
        <v>90</v>
      </c>
    </row>
    <row r="89" spans="1:20" ht="43.5" x14ac:dyDescent="0.35">
      <c r="A89" s="41" t="s">
        <v>143</v>
      </c>
      <c r="B89" s="41" t="s">
        <v>197</v>
      </c>
      <c r="C89" s="41">
        <v>5</v>
      </c>
      <c r="D89" s="41" t="s">
        <v>109</v>
      </c>
      <c r="E89" s="41" t="s">
        <v>105</v>
      </c>
      <c r="F89" s="41" t="s">
        <v>110</v>
      </c>
      <c r="G89" s="41" t="s">
        <v>84</v>
      </c>
      <c r="H89" s="41" t="s">
        <v>111</v>
      </c>
      <c r="I89" s="41" t="s">
        <v>53</v>
      </c>
      <c r="J89" s="41" t="s">
        <v>84</v>
      </c>
      <c r="K89" s="41" t="s">
        <v>57</v>
      </c>
      <c r="L89" s="41" t="s">
        <v>58</v>
      </c>
      <c r="M89" s="41" t="s">
        <v>86</v>
      </c>
      <c r="N89" s="41" t="s">
        <v>60</v>
      </c>
      <c r="O89" s="42"/>
      <c r="P89" s="41" t="s">
        <v>66</v>
      </c>
      <c r="Q89" s="41" t="s">
        <v>112</v>
      </c>
      <c r="R89" s="35" t="s">
        <v>88</v>
      </c>
      <c r="S89" s="35" t="s">
        <v>89</v>
      </c>
      <c r="T89" s="35" t="s">
        <v>90</v>
      </c>
    </row>
    <row r="90" spans="1:20" ht="43.5" x14ac:dyDescent="0.35">
      <c r="A90" s="43" t="s">
        <v>143</v>
      </c>
      <c r="B90" s="44" t="s">
        <v>201</v>
      </c>
      <c r="C90" s="43">
        <v>1</v>
      </c>
      <c r="D90" s="43" t="s">
        <v>202</v>
      </c>
      <c r="E90" s="43" t="s">
        <v>105</v>
      </c>
      <c r="F90" s="43" t="s">
        <v>110</v>
      </c>
      <c r="G90" s="43" t="s">
        <v>84</v>
      </c>
      <c r="H90" s="43" t="s">
        <v>203</v>
      </c>
      <c r="I90" s="43" t="s">
        <v>53</v>
      </c>
      <c r="J90" s="43" t="s">
        <v>84</v>
      </c>
      <c r="K90" s="43" t="s">
        <v>57</v>
      </c>
      <c r="L90" s="43" t="s">
        <v>58</v>
      </c>
      <c r="M90" s="43" t="s">
        <v>86</v>
      </c>
      <c r="N90" s="43" t="s">
        <v>60</v>
      </c>
      <c r="O90" s="45"/>
      <c r="P90" s="43" t="s">
        <v>66</v>
      </c>
      <c r="Q90" s="43" t="s">
        <v>204</v>
      </c>
      <c r="R90" s="35" t="s">
        <v>88</v>
      </c>
      <c r="S90" s="35" t="s">
        <v>89</v>
      </c>
      <c r="T90" s="35" t="s">
        <v>90</v>
      </c>
    </row>
    <row r="91" spans="1:20" ht="43.5" x14ac:dyDescent="0.35">
      <c r="A91" s="43" t="s">
        <v>143</v>
      </c>
      <c r="B91" s="43" t="s">
        <v>201</v>
      </c>
      <c r="C91" s="43">
        <v>2</v>
      </c>
      <c r="D91" s="43" t="s">
        <v>205</v>
      </c>
      <c r="E91" s="43" t="s">
        <v>105</v>
      </c>
      <c r="F91" s="43" t="s">
        <v>206</v>
      </c>
      <c r="G91" s="43" t="s">
        <v>84</v>
      </c>
      <c r="H91" s="43" t="s">
        <v>207</v>
      </c>
      <c r="I91" s="43" t="s">
        <v>208</v>
      </c>
      <c r="J91" s="43" t="s">
        <v>97</v>
      </c>
      <c r="K91" s="43" t="s">
        <v>57</v>
      </c>
      <c r="L91" s="43" t="s">
        <v>58</v>
      </c>
      <c r="M91" s="43" t="s">
        <v>86</v>
      </c>
      <c r="N91" s="43" t="s">
        <v>60</v>
      </c>
      <c r="O91" s="45"/>
      <c r="P91" s="43" t="s">
        <v>66</v>
      </c>
      <c r="Q91" s="43" t="s">
        <v>209</v>
      </c>
      <c r="R91" s="35" t="s">
        <v>88</v>
      </c>
      <c r="S91" s="35" t="s">
        <v>89</v>
      </c>
      <c r="T91" s="35" t="s">
        <v>90</v>
      </c>
    </row>
    <row r="92" spans="1:20" ht="43.5" x14ac:dyDescent="0.35">
      <c r="A92" s="43" t="s">
        <v>143</v>
      </c>
      <c r="B92" s="43" t="s">
        <v>201</v>
      </c>
      <c r="C92" s="43">
        <v>3</v>
      </c>
      <c r="D92" s="43" t="s">
        <v>210</v>
      </c>
      <c r="E92" s="43" t="s">
        <v>105</v>
      </c>
      <c r="F92" s="43" t="s">
        <v>211</v>
      </c>
      <c r="G92" s="43" t="s">
        <v>84</v>
      </c>
      <c r="H92" s="43" t="s">
        <v>212</v>
      </c>
      <c r="I92" s="43" t="s">
        <v>213</v>
      </c>
      <c r="J92" s="43" t="s">
        <v>84</v>
      </c>
      <c r="K92" s="43" t="s">
        <v>57</v>
      </c>
      <c r="L92" s="43" t="s">
        <v>214</v>
      </c>
      <c r="M92" s="43" t="s">
        <v>86</v>
      </c>
      <c r="N92" s="43" t="s">
        <v>60</v>
      </c>
      <c r="O92" s="45"/>
      <c r="P92" s="43" t="s">
        <v>66</v>
      </c>
      <c r="Q92" s="43" t="s">
        <v>215</v>
      </c>
      <c r="R92" s="35" t="s">
        <v>88</v>
      </c>
      <c r="S92" s="35" t="s">
        <v>89</v>
      </c>
      <c r="T92" s="35" t="s">
        <v>90</v>
      </c>
    </row>
    <row r="93" spans="1:20" ht="43.5" x14ac:dyDescent="0.35">
      <c r="A93" s="43" t="s">
        <v>143</v>
      </c>
      <c r="B93" s="43" t="s">
        <v>201</v>
      </c>
      <c r="C93" s="43">
        <v>4</v>
      </c>
      <c r="D93" s="43" t="s">
        <v>104</v>
      </c>
      <c r="E93" s="43" t="s">
        <v>105</v>
      </c>
      <c r="F93" s="43" t="s">
        <v>83</v>
      </c>
      <c r="G93" s="43" t="s">
        <v>84</v>
      </c>
      <c r="H93" s="43" t="s">
        <v>216</v>
      </c>
      <c r="I93" s="43" t="s">
        <v>107</v>
      </c>
      <c r="J93" s="43" t="s">
        <v>84</v>
      </c>
      <c r="K93" s="43" t="s">
        <v>57</v>
      </c>
      <c r="L93" s="43" t="s">
        <v>58</v>
      </c>
      <c r="M93" s="43" t="s">
        <v>86</v>
      </c>
      <c r="N93" s="43" t="s">
        <v>60</v>
      </c>
      <c r="O93" s="45"/>
      <c r="P93" s="43" t="s">
        <v>66</v>
      </c>
      <c r="Q93" s="43" t="s">
        <v>217</v>
      </c>
      <c r="R93" s="35" t="s">
        <v>88</v>
      </c>
      <c r="S93" s="35" t="s">
        <v>89</v>
      </c>
      <c r="T93" s="35" t="s">
        <v>90</v>
      </c>
    </row>
    <row r="94" spans="1:20" ht="43.5" x14ac:dyDescent="0.35">
      <c r="A94" s="46" t="s">
        <v>143</v>
      </c>
      <c r="B94" s="46" t="s">
        <v>201</v>
      </c>
      <c r="C94" s="46">
        <v>5</v>
      </c>
      <c r="D94" s="46" t="s">
        <v>218</v>
      </c>
      <c r="E94" s="46" t="s">
        <v>92</v>
      </c>
      <c r="F94" s="46" t="s">
        <v>219</v>
      </c>
      <c r="G94" s="46" t="s">
        <v>94</v>
      </c>
      <c r="H94" s="46" t="s">
        <v>220</v>
      </c>
      <c r="I94" s="46" t="s">
        <v>96</v>
      </c>
      <c r="J94" s="46" t="s">
        <v>97</v>
      </c>
      <c r="K94" s="46" t="s">
        <v>57</v>
      </c>
      <c r="L94" s="46" t="s">
        <v>58</v>
      </c>
      <c r="M94" s="46" t="s">
        <v>86</v>
      </c>
      <c r="N94" s="46" t="s">
        <v>60</v>
      </c>
      <c r="O94" s="47"/>
      <c r="P94" s="46" t="s">
        <v>66</v>
      </c>
      <c r="Q94" s="46" t="s">
        <v>221</v>
      </c>
      <c r="R94" s="35" t="s">
        <v>88</v>
      </c>
      <c r="S94" s="35" t="s">
        <v>89</v>
      </c>
      <c r="T94" s="35" t="s">
        <v>90</v>
      </c>
    </row>
    <row r="95" spans="1:20" ht="43.5" x14ac:dyDescent="0.35">
      <c r="A95" s="38" t="s">
        <v>143</v>
      </c>
      <c r="B95" s="39" t="s">
        <v>222</v>
      </c>
      <c r="C95" s="38">
        <v>1</v>
      </c>
      <c r="D95" s="38" t="s">
        <v>223</v>
      </c>
      <c r="E95" s="38" t="s">
        <v>47</v>
      </c>
      <c r="F95" s="38" t="s">
        <v>83</v>
      </c>
      <c r="G95" s="38" t="s">
        <v>84</v>
      </c>
      <c r="H95" s="38" t="s">
        <v>85</v>
      </c>
      <c r="I95" s="38" t="s">
        <v>53</v>
      </c>
      <c r="J95" s="38" t="s">
        <v>84</v>
      </c>
      <c r="K95" s="38" t="s">
        <v>57</v>
      </c>
      <c r="L95" s="38" t="s">
        <v>58</v>
      </c>
      <c r="M95" s="38" t="s">
        <v>86</v>
      </c>
      <c r="N95" s="38" t="s">
        <v>60</v>
      </c>
      <c r="O95" s="40"/>
      <c r="P95" s="38" t="s">
        <v>66</v>
      </c>
      <c r="Q95" s="38" t="s">
        <v>87</v>
      </c>
      <c r="R95" s="35" t="s">
        <v>88</v>
      </c>
      <c r="S95" s="35" t="s">
        <v>89</v>
      </c>
      <c r="T95" s="35" t="s">
        <v>90</v>
      </c>
    </row>
    <row r="96" spans="1:20" ht="43.5" x14ac:dyDescent="0.35">
      <c r="A96" s="38" t="s">
        <v>143</v>
      </c>
      <c r="B96" s="38" t="s">
        <v>222</v>
      </c>
      <c r="C96" s="38">
        <v>2</v>
      </c>
      <c r="D96" s="38" t="s">
        <v>224</v>
      </c>
      <c r="E96" s="38" t="s">
        <v>92</v>
      </c>
      <c r="F96" s="38" t="s">
        <v>225</v>
      </c>
      <c r="G96" s="38" t="s">
        <v>94</v>
      </c>
      <c r="H96" s="38" t="s">
        <v>95</v>
      </c>
      <c r="I96" s="38" t="s">
        <v>96</v>
      </c>
      <c r="J96" s="38" t="s">
        <v>97</v>
      </c>
      <c r="K96" s="38" t="s">
        <v>57</v>
      </c>
      <c r="L96" s="38" t="s">
        <v>58</v>
      </c>
      <c r="M96" s="38" t="s">
        <v>86</v>
      </c>
      <c r="N96" s="38" t="s">
        <v>60</v>
      </c>
      <c r="O96" s="40"/>
      <c r="P96" s="38" t="s">
        <v>66</v>
      </c>
      <c r="Q96" s="38" t="s">
        <v>98</v>
      </c>
      <c r="R96" s="35" t="s">
        <v>88</v>
      </c>
      <c r="S96" s="35" t="s">
        <v>89</v>
      </c>
      <c r="T96" s="35" t="s">
        <v>90</v>
      </c>
    </row>
    <row r="97" spans="1:20" ht="43.5" x14ac:dyDescent="0.35">
      <c r="A97" s="38" t="s">
        <v>143</v>
      </c>
      <c r="B97" s="38" t="s">
        <v>222</v>
      </c>
      <c r="C97" s="38">
        <v>3</v>
      </c>
      <c r="D97" s="38" t="s">
        <v>226</v>
      </c>
      <c r="E97" s="38" t="s">
        <v>100</v>
      </c>
      <c r="F97" s="38" t="s">
        <v>227</v>
      </c>
      <c r="G97" s="38" t="s">
        <v>84</v>
      </c>
      <c r="H97" s="38" t="s">
        <v>102</v>
      </c>
      <c r="I97" s="38" t="s">
        <v>96</v>
      </c>
      <c r="J97" s="38" t="s">
        <v>84</v>
      </c>
      <c r="K97" s="38" t="s">
        <v>57</v>
      </c>
      <c r="L97" s="38" t="s">
        <v>58</v>
      </c>
      <c r="M97" s="38" t="s">
        <v>86</v>
      </c>
      <c r="N97" s="38" t="s">
        <v>60</v>
      </c>
      <c r="O97" s="40"/>
      <c r="P97" s="38" t="s">
        <v>66</v>
      </c>
      <c r="Q97" s="38" t="s">
        <v>103</v>
      </c>
      <c r="R97" s="35" t="s">
        <v>88</v>
      </c>
      <c r="S97" s="35" t="s">
        <v>89</v>
      </c>
      <c r="T97" s="35" t="s">
        <v>90</v>
      </c>
    </row>
    <row r="98" spans="1:20" ht="43.5" x14ac:dyDescent="0.35">
      <c r="A98" s="38" t="s">
        <v>143</v>
      </c>
      <c r="B98" s="38" t="s">
        <v>222</v>
      </c>
      <c r="C98" s="38">
        <v>4</v>
      </c>
      <c r="D98" s="38" t="s">
        <v>104</v>
      </c>
      <c r="E98" s="38" t="s">
        <v>105</v>
      </c>
      <c r="F98" s="38" t="s">
        <v>83</v>
      </c>
      <c r="G98" s="38" t="s">
        <v>84</v>
      </c>
      <c r="H98" s="38" t="s">
        <v>106</v>
      </c>
      <c r="I98" s="38" t="s">
        <v>107</v>
      </c>
      <c r="J98" s="38" t="s">
        <v>84</v>
      </c>
      <c r="K98" s="38" t="s">
        <v>57</v>
      </c>
      <c r="L98" s="38" t="s">
        <v>58</v>
      </c>
      <c r="M98" s="38" t="s">
        <v>86</v>
      </c>
      <c r="N98" s="38" t="s">
        <v>60</v>
      </c>
      <c r="O98" s="40"/>
      <c r="P98" s="38" t="s">
        <v>66</v>
      </c>
      <c r="Q98" s="38" t="s">
        <v>108</v>
      </c>
      <c r="R98" s="35" t="s">
        <v>88</v>
      </c>
      <c r="S98" s="35" t="s">
        <v>89</v>
      </c>
      <c r="T98" s="35" t="s">
        <v>90</v>
      </c>
    </row>
    <row r="99" spans="1:20" ht="43.5" x14ac:dyDescent="0.35">
      <c r="A99" s="41" t="s">
        <v>143</v>
      </c>
      <c r="B99" s="41" t="s">
        <v>222</v>
      </c>
      <c r="C99" s="41">
        <v>5</v>
      </c>
      <c r="D99" s="41" t="s">
        <v>109</v>
      </c>
      <c r="E99" s="41" t="s">
        <v>105</v>
      </c>
      <c r="F99" s="41" t="s">
        <v>110</v>
      </c>
      <c r="G99" s="41" t="s">
        <v>84</v>
      </c>
      <c r="H99" s="41" t="s">
        <v>111</v>
      </c>
      <c r="I99" s="41" t="s">
        <v>53</v>
      </c>
      <c r="J99" s="41" t="s">
        <v>84</v>
      </c>
      <c r="K99" s="41" t="s">
        <v>57</v>
      </c>
      <c r="L99" s="41" t="s">
        <v>58</v>
      </c>
      <c r="M99" s="41" t="s">
        <v>86</v>
      </c>
      <c r="N99" s="41" t="s">
        <v>60</v>
      </c>
      <c r="O99" s="42"/>
      <c r="P99" s="41" t="s">
        <v>66</v>
      </c>
      <c r="Q99" s="41" t="s">
        <v>112</v>
      </c>
      <c r="R99" s="35" t="s">
        <v>88</v>
      </c>
      <c r="S99" s="35" t="s">
        <v>89</v>
      </c>
      <c r="T99" s="35" t="s">
        <v>90</v>
      </c>
    </row>
    <row r="100" spans="1:20" ht="43.5" x14ac:dyDescent="0.35">
      <c r="A100" s="43" t="s">
        <v>143</v>
      </c>
      <c r="B100" s="44" t="s">
        <v>228</v>
      </c>
      <c r="C100" s="43">
        <v>1</v>
      </c>
      <c r="D100" s="43" t="s">
        <v>229</v>
      </c>
      <c r="E100" s="43" t="s">
        <v>47</v>
      </c>
      <c r="F100" s="43" t="s">
        <v>83</v>
      </c>
      <c r="G100" s="43" t="s">
        <v>84</v>
      </c>
      <c r="H100" s="43" t="s">
        <v>85</v>
      </c>
      <c r="I100" s="43" t="s">
        <v>53</v>
      </c>
      <c r="J100" s="43" t="s">
        <v>84</v>
      </c>
      <c r="K100" s="43" t="s">
        <v>57</v>
      </c>
      <c r="L100" s="43" t="s">
        <v>58</v>
      </c>
      <c r="M100" s="43" t="s">
        <v>86</v>
      </c>
      <c r="N100" s="43" t="s">
        <v>60</v>
      </c>
      <c r="O100" s="45"/>
      <c r="P100" s="43" t="s">
        <v>66</v>
      </c>
      <c r="Q100" s="43" t="s">
        <v>87</v>
      </c>
      <c r="R100" s="35" t="s">
        <v>88</v>
      </c>
      <c r="S100" s="35" t="s">
        <v>89</v>
      </c>
      <c r="T100" s="35" t="s">
        <v>90</v>
      </c>
    </row>
    <row r="101" spans="1:20" ht="43.5" x14ac:dyDescent="0.35">
      <c r="A101" s="43" t="s">
        <v>143</v>
      </c>
      <c r="B101" s="43" t="s">
        <v>228</v>
      </c>
      <c r="C101" s="43">
        <v>2</v>
      </c>
      <c r="D101" s="43" t="s">
        <v>230</v>
      </c>
      <c r="E101" s="43" t="s">
        <v>92</v>
      </c>
      <c r="F101" s="43" t="s">
        <v>231</v>
      </c>
      <c r="G101" s="43" t="s">
        <v>94</v>
      </c>
      <c r="H101" s="43" t="s">
        <v>95</v>
      </c>
      <c r="I101" s="43" t="s">
        <v>96</v>
      </c>
      <c r="J101" s="43" t="s">
        <v>97</v>
      </c>
      <c r="K101" s="43" t="s">
        <v>57</v>
      </c>
      <c r="L101" s="43" t="s">
        <v>58</v>
      </c>
      <c r="M101" s="43" t="s">
        <v>86</v>
      </c>
      <c r="N101" s="43" t="s">
        <v>60</v>
      </c>
      <c r="O101" s="45"/>
      <c r="P101" s="43" t="s">
        <v>66</v>
      </c>
      <c r="Q101" s="43" t="s">
        <v>98</v>
      </c>
      <c r="R101" s="35" t="s">
        <v>88</v>
      </c>
      <c r="S101" s="35" t="s">
        <v>89</v>
      </c>
      <c r="T101" s="35" t="s">
        <v>90</v>
      </c>
    </row>
    <row r="102" spans="1:20" ht="43.5" x14ac:dyDescent="0.35">
      <c r="A102" s="43" t="s">
        <v>143</v>
      </c>
      <c r="B102" s="43" t="s">
        <v>228</v>
      </c>
      <c r="C102" s="43">
        <v>3</v>
      </c>
      <c r="D102" s="43" t="s">
        <v>232</v>
      </c>
      <c r="E102" s="43" t="s">
        <v>100</v>
      </c>
      <c r="F102" s="43" t="s">
        <v>233</v>
      </c>
      <c r="G102" s="43" t="s">
        <v>84</v>
      </c>
      <c r="H102" s="43" t="s">
        <v>102</v>
      </c>
      <c r="I102" s="43" t="s">
        <v>96</v>
      </c>
      <c r="J102" s="43" t="s">
        <v>84</v>
      </c>
      <c r="K102" s="43" t="s">
        <v>57</v>
      </c>
      <c r="L102" s="43" t="s">
        <v>58</v>
      </c>
      <c r="M102" s="43" t="s">
        <v>86</v>
      </c>
      <c r="N102" s="43" t="s">
        <v>60</v>
      </c>
      <c r="O102" s="45"/>
      <c r="P102" s="43" t="s">
        <v>66</v>
      </c>
      <c r="Q102" s="43" t="s">
        <v>103</v>
      </c>
      <c r="R102" s="35" t="s">
        <v>88</v>
      </c>
      <c r="S102" s="35" t="s">
        <v>89</v>
      </c>
      <c r="T102" s="35" t="s">
        <v>90</v>
      </c>
    </row>
    <row r="103" spans="1:20" ht="43.5" x14ac:dyDescent="0.35">
      <c r="A103" s="43" t="s">
        <v>143</v>
      </c>
      <c r="B103" s="43" t="s">
        <v>228</v>
      </c>
      <c r="C103" s="43">
        <v>4</v>
      </c>
      <c r="D103" s="43" t="s">
        <v>104</v>
      </c>
      <c r="E103" s="43" t="s">
        <v>105</v>
      </c>
      <c r="F103" s="43" t="s">
        <v>83</v>
      </c>
      <c r="G103" s="43" t="s">
        <v>84</v>
      </c>
      <c r="H103" s="43" t="s">
        <v>106</v>
      </c>
      <c r="I103" s="43" t="s">
        <v>107</v>
      </c>
      <c r="J103" s="43" t="s">
        <v>84</v>
      </c>
      <c r="K103" s="43" t="s">
        <v>57</v>
      </c>
      <c r="L103" s="43" t="s">
        <v>58</v>
      </c>
      <c r="M103" s="43" t="s">
        <v>86</v>
      </c>
      <c r="N103" s="43" t="s">
        <v>60</v>
      </c>
      <c r="O103" s="45"/>
      <c r="P103" s="43" t="s">
        <v>66</v>
      </c>
      <c r="Q103" s="43" t="s">
        <v>108</v>
      </c>
      <c r="R103" s="35" t="s">
        <v>88</v>
      </c>
      <c r="S103" s="35" t="s">
        <v>89</v>
      </c>
      <c r="T103" s="35" t="s">
        <v>90</v>
      </c>
    </row>
    <row r="104" spans="1:20" ht="43.5" x14ac:dyDescent="0.35">
      <c r="A104" s="46" t="s">
        <v>143</v>
      </c>
      <c r="B104" s="46" t="s">
        <v>228</v>
      </c>
      <c r="C104" s="46">
        <v>5</v>
      </c>
      <c r="D104" s="46" t="s">
        <v>109</v>
      </c>
      <c r="E104" s="46" t="s">
        <v>105</v>
      </c>
      <c r="F104" s="46" t="s">
        <v>110</v>
      </c>
      <c r="G104" s="46" t="s">
        <v>84</v>
      </c>
      <c r="H104" s="46" t="s">
        <v>111</v>
      </c>
      <c r="I104" s="46" t="s">
        <v>53</v>
      </c>
      <c r="J104" s="46" t="s">
        <v>84</v>
      </c>
      <c r="K104" s="46" t="s">
        <v>57</v>
      </c>
      <c r="L104" s="46" t="s">
        <v>58</v>
      </c>
      <c r="M104" s="46" t="s">
        <v>86</v>
      </c>
      <c r="N104" s="46" t="s">
        <v>60</v>
      </c>
      <c r="O104" s="47"/>
      <c r="P104" s="46" t="s">
        <v>66</v>
      </c>
      <c r="Q104" s="46" t="s">
        <v>112</v>
      </c>
      <c r="R104" s="35" t="s">
        <v>88</v>
      </c>
      <c r="S104" s="35" t="s">
        <v>89</v>
      </c>
      <c r="T104" s="35" t="s">
        <v>90</v>
      </c>
    </row>
    <row r="105" spans="1:20" ht="43.5" x14ac:dyDescent="0.35">
      <c r="A105" s="38" t="s">
        <v>143</v>
      </c>
      <c r="B105" s="39" t="s">
        <v>234</v>
      </c>
      <c r="C105" s="38">
        <v>1</v>
      </c>
      <c r="D105" s="38" t="s">
        <v>235</v>
      </c>
      <c r="E105" s="38" t="s">
        <v>47</v>
      </c>
      <c r="F105" s="38" t="s">
        <v>83</v>
      </c>
      <c r="G105" s="38" t="s">
        <v>84</v>
      </c>
      <c r="H105" s="38" t="s">
        <v>85</v>
      </c>
      <c r="I105" s="38" t="s">
        <v>53</v>
      </c>
      <c r="J105" s="38" t="s">
        <v>84</v>
      </c>
      <c r="K105" s="38" t="s">
        <v>57</v>
      </c>
      <c r="L105" s="38" t="s">
        <v>58</v>
      </c>
      <c r="M105" s="38" t="s">
        <v>86</v>
      </c>
      <c r="N105" s="38" t="s">
        <v>60</v>
      </c>
      <c r="O105" s="40"/>
      <c r="P105" s="38" t="s">
        <v>66</v>
      </c>
      <c r="Q105" s="38" t="s">
        <v>87</v>
      </c>
      <c r="R105" s="35" t="s">
        <v>88</v>
      </c>
      <c r="S105" s="35" t="s">
        <v>89</v>
      </c>
      <c r="T105" s="35" t="s">
        <v>90</v>
      </c>
    </row>
    <row r="106" spans="1:20" ht="43.5" x14ac:dyDescent="0.35">
      <c r="A106" s="38" t="s">
        <v>143</v>
      </c>
      <c r="B106" s="38" t="s">
        <v>234</v>
      </c>
      <c r="C106" s="38">
        <v>2</v>
      </c>
      <c r="D106" s="38" t="s">
        <v>236</v>
      </c>
      <c r="E106" s="38" t="s">
        <v>92</v>
      </c>
      <c r="F106" s="38" t="s">
        <v>237</v>
      </c>
      <c r="G106" s="38" t="s">
        <v>94</v>
      </c>
      <c r="H106" s="38" t="s">
        <v>95</v>
      </c>
      <c r="I106" s="38" t="s">
        <v>96</v>
      </c>
      <c r="J106" s="38" t="s">
        <v>97</v>
      </c>
      <c r="K106" s="38" t="s">
        <v>57</v>
      </c>
      <c r="L106" s="38" t="s">
        <v>58</v>
      </c>
      <c r="M106" s="38" t="s">
        <v>86</v>
      </c>
      <c r="N106" s="38" t="s">
        <v>60</v>
      </c>
      <c r="O106" s="40"/>
      <c r="P106" s="38" t="s">
        <v>66</v>
      </c>
      <c r="Q106" s="38" t="s">
        <v>98</v>
      </c>
      <c r="R106" s="35" t="s">
        <v>88</v>
      </c>
      <c r="S106" s="35" t="s">
        <v>89</v>
      </c>
      <c r="T106" s="35" t="s">
        <v>90</v>
      </c>
    </row>
    <row r="107" spans="1:20" ht="43.5" x14ac:dyDescent="0.35">
      <c r="A107" s="38" t="s">
        <v>143</v>
      </c>
      <c r="B107" s="38" t="s">
        <v>234</v>
      </c>
      <c r="C107" s="38">
        <v>3</v>
      </c>
      <c r="D107" s="38" t="s">
        <v>238</v>
      </c>
      <c r="E107" s="38" t="s">
        <v>100</v>
      </c>
      <c r="F107" s="38" t="s">
        <v>239</v>
      </c>
      <c r="G107" s="38" t="s">
        <v>84</v>
      </c>
      <c r="H107" s="38" t="s">
        <v>102</v>
      </c>
      <c r="I107" s="38" t="s">
        <v>96</v>
      </c>
      <c r="J107" s="38" t="s">
        <v>84</v>
      </c>
      <c r="K107" s="38" t="s">
        <v>57</v>
      </c>
      <c r="L107" s="38" t="s">
        <v>58</v>
      </c>
      <c r="M107" s="38" t="s">
        <v>86</v>
      </c>
      <c r="N107" s="38" t="s">
        <v>60</v>
      </c>
      <c r="O107" s="40"/>
      <c r="P107" s="38" t="s">
        <v>66</v>
      </c>
      <c r="Q107" s="38" t="s">
        <v>103</v>
      </c>
      <c r="R107" s="35" t="s">
        <v>88</v>
      </c>
      <c r="S107" s="35" t="s">
        <v>89</v>
      </c>
      <c r="T107" s="35" t="s">
        <v>90</v>
      </c>
    </row>
    <row r="108" spans="1:20" ht="43.5" x14ac:dyDescent="0.35">
      <c r="A108" s="38" t="s">
        <v>143</v>
      </c>
      <c r="B108" s="38" t="s">
        <v>234</v>
      </c>
      <c r="C108" s="38">
        <v>4</v>
      </c>
      <c r="D108" s="38" t="s">
        <v>104</v>
      </c>
      <c r="E108" s="38" t="s">
        <v>105</v>
      </c>
      <c r="F108" s="38" t="s">
        <v>83</v>
      </c>
      <c r="G108" s="38" t="s">
        <v>84</v>
      </c>
      <c r="H108" s="38" t="s">
        <v>106</v>
      </c>
      <c r="I108" s="38" t="s">
        <v>107</v>
      </c>
      <c r="J108" s="38" t="s">
        <v>84</v>
      </c>
      <c r="K108" s="38" t="s">
        <v>57</v>
      </c>
      <c r="L108" s="38" t="s">
        <v>58</v>
      </c>
      <c r="M108" s="38" t="s">
        <v>86</v>
      </c>
      <c r="N108" s="38" t="s">
        <v>60</v>
      </c>
      <c r="O108" s="40"/>
      <c r="P108" s="38" t="s">
        <v>66</v>
      </c>
      <c r="Q108" s="38" t="s">
        <v>108</v>
      </c>
      <c r="R108" s="35" t="s">
        <v>88</v>
      </c>
      <c r="S108" s="35" t="s">
        <v>89</v>
      </c>
      <c r="T108" s="35" t="s">
        <v>90</v>
      </c>
    </row>
    <row r="109" spans="1:20" ht="43.5" x14ac:dyDescent="0.35">
      <c r="A109" s="41" t="s">
        <v>143</v>
      </c>
      <c r="B109" s="41" t="s">
        <v>234</v>
      </c>
      <c r="C109" s="41">
        <v>5</v>
      </c>
      <c r="D109" s="41" t="s">
        <v>109</v>
      </c>
      <c r="E109" s="41" t="s">
        <v>105</v>
      </c>
      <c r="F109" s="41" t="s">
        <v>110</v>
      </c>
      <c r="G109" s="41" t="s">
        <v>84</v>
      </c>
      <c r="H109" s="41" t="s">
        <v>111</v>
      </c>
      <c r="I109" s="41" t="s">
        <v>53</v>
      </c>
      <c r="J109" s="41" t="s">
        <v>84</v>
      </c>
      <c r="K109" s="41" t="s">
        <v>57</v>
      </c>
      <c r="L109" s="41" t="s">
        <v>58</v>
      </c>
      <c r="M109" s="41" t="s">
        <v>86</v>
      </c>
      <c r="N109" s="41" t="s">
        <v>60</v>
      </c>
      <c r="O109" s="42"/>
      <c r="P109" s="41" t="s">
        <v>66</v>
      </c>
      <c r="Q109" s="41" t="s">
        <v>112</v>
      </c>
      <c r="R109" s="35" t="s">
        <v>88</v>
      </c>
      <c r="S109" s="35" t="s">
        <v>89</v>
      </c>
      <c r="T109" s="35" t="s">
        <v>90</v>
      </c>
    </row>
    <row r="110" spans="1:20" ht="43.5" x14ac:dyDescent="0.35">
      <c r="A110" s="43" t="s">
        <v>240</v>
      </c>
      <c r="B110" s="44" t="s">
        <v>241</v>
      </c>
      <c r="C110" s="43">
        <v>1</v>
      </c>
      <c r="D110" s="43" t="s">
        <v>242</v>
      </c>
      <c r="E110" s="43" t="s">
        <v>47</v>
      </c>
      <c r="F110" s="43" t="s">
        <v>83</v>
      </c>
      <c r="G110" s="43" t="s">
        <v>84</v>
      </c>
      <c r="H110" s="43" t="s">
        <v>85</v>
      </c>
      <c r="I110" s="43" t="s">
        <v>53</v>
      </c>
      <c r="J110" s="43" t="s">
        <v>84</v>
      </c>
      <c r="K110" s="43" t="s">
        <v>57</v>
      </c>
      <c r="L110" s="43" t="s">
        <v>58</v>
      </c>
      <c r="M110" s="43" t="s">
        <v>86</v>
      </c>
      <c r="N110" s="43" t="s">
        <v>60</v>
      </c>
      <c r="O110" s="45"/>
      <c r="P110" s="43" t="s">
        <v>66</v>
      </c>
      <c r="Q110" s="43" t="s">
        <v>87</v>
      </c>
      <c r="R110" s="35" t="s">
        <v>88</v>
      </c>
      <c r="S110" s="35" t="s">
        <v>89</v>
      </c>
      <c r="T110" s="35" t="s">
        <v>90</v>
      </c>
    </row>
    <row r="111" spans="1:20" ht="43.5" x14ac:dyDescent="0.35">
      <c r="A111" s="43" t="s">
        <v>240</v>
      </c>
      <c r="B111" s="43" t="s">
        <v>241</v>
      </c>
      <c r="C111" s="43">
        <v>2</v>
      </c>
      <c r="D111" s="43" t="s">
        <v>243</v>
      </c>
      <c r="E111" s="43" t="s">
        <v>92</v>
      </c>
      <c r="F111" s="43" t="s">
        <v>244</v>
      </c>
      <c r="G111" s="43" t="s">
        <v>94</v>
      </c>
      <c r="H111" s="43" t="s">
        <v>95</v>
      </c>
      <c r="I111" s="43" t="s">
        <v>96</v>
      </c>
      <c r="J111" s="43" t="s">
        <v>97</v>
      </c>
      <c r="K111" s="43" t="s">
        <v>57</v>
      </c>
      <c r="L111" s="43" t="s">
        <v>58</v>
      </c>
      <c r="M111" s="43" t="s">
        <v>86</v>
      </c>
      <c r="N111" s="43" t="s">
        <v>60</v>
      </c>
      <c r="O111" s="45"/>
      <c r="P111" s="43" t="s">
        <v>66</v>
      </c>
      <c r="Q111" s="43" t="s">
        <v>98</v>
      </c>
      <c r="R111" s="35" t="s">
        <v>88</v>
      </c>
      <c r="S111" s="35" t="s">
        <v>89</v>
      </c>
      <c r="T111" s="35" t="s">
        <v>90</v>
      </c>
    </row>
    <row r="112" spans="1:20" ht="43.5" x14ac:dyDescent="0.35">
      <c r="A112" s="43" t="s">
        <v>240</v>
      </c>
      <c r="B112" s="43" t="s">
        <v>241</v>
      </c>
      <c r="C112" s="43">
        <v>3</v>
      </c>
      <c r="D112" s="43" t="s">
        <v>245</v>
      </c>
      <c r="E112" s="43" t="s">
        <v>100</v>
      </c>
      <c r="F112" s="43" t="s">
        <v>246</v>
      </c>
      <c r="G112" s="43" t="s">
        <v>84</v>
      </c>
      <c r="H112" s="43" t="s">
        <v>102</v>
      </c>
      <c r="I112" s="43" t="s">
        <v>96</v>
      </c>
      <c r="J112" s="43" t="s">
        <v>84</v>
      </c>
      <c r="K112" s="43" t="s">
        <v>57</v>
      </c>
      <c r="L112" s="43" t="s">
        <v>58</v>
      </c>
      <c r="M112" s="43" t="s">
        <v>86</v>
      </c>
      <c r="N112" s="43" t="s">
        <v>60</v>
      </c>
      <c r="O112" s="45"/>
      <c r="P112" s="43" t="s">
        <v>66</v>
      </c>
      <c r="Q112" s="43" t="s">
        <v>103</v>
      </c>
      <c r="R112" s="35" t="s">
        <v>88</v>
      </c>
      <c r="S112" s="35" t="s">
        <v>89</v>
      </c>
      <c r="T112" s="35" t="s">
        <v>90</v>
      </c>
    </row>
    <row r="113" spans="1:20" ht="43.5" x14ac:dyDescent="0.35">
      <c r="A113" s="43" t="s">
        <v>240</v>
      </c>
      <c r="B113" s="43" t="s">
        <v>241</v>
      </c>
      <c r="C113" s="43">
        <v>4</v>
      </c>
      <c r="D113" s="43" t="s">
        <v>104</v>
      </c>
      <c r="E113" s="43" t="s">
        <v>105</v>
      </c>
      <c r="F113" s="43" t="s">
        <v>83</v>
      </c>
      <c r="G113" s="43" t="s">
        <v>84</v>
      </c>
      <c r="H113" s="43" t="s">
        <v>106</v>
      </c>
      <c r="I113" s="43" t="s">
        <v>107</v>
      </c>
      <c r="J113" s="43" t="s">
        <v>84</v>
      </c>
      <c r="K113" s="43" t="s">
        <v>57</v>
      </c>
      <c r="L113" s="43" t="s">
        <v>58</v>
      </c>
      <c r="M113" s="43" t="s">
        <v>86</v>
      </c>
      <c r="N113" s="43" t="s">
        <v>60</v>
      </c>
      <c r="O113" s="45"/>
      <c r="P113" s="43" t="s">
        <v>66</v>
      </c>
      <c r="Q113" s="43" t="s">
        <v>108</v>
      </c>
      <c r="R113" s="35" t="s">
        <v>88</v>
      </c>
      <c r="S113" s="35" t="s">
        <v>89</v>
      </c>
      <c r="T113" s="35" t="s">
        <v>90</v>
      </c>
    </row>
    <row r="114" spans="1:20" ht="43.5" x14ac:dyDescent="0.35">
      <c r="A114" s="46" t="s">
        <v>240</v>
      </c>
      <c r="B114" s="46" t="s">
        <v>241</v>
      </c>
      <c r="C114" s="46">
        <v>5</v>
      </c>
      <c r="D114" s="46" t="s">
        <v>109</v>
      </c>
      <c r="E114" s="46" t="s">
        <v>105</v>
      </c>
      <c r="F114" s="46" t="s">
        <v>110</v>
      </c>
      <c r="G114" s="46" t="s">
        <v>84</v>
      </c>
      <c r="H114" s="46" t="s">
        <v>111</v>
      </c>
      <c r="I114" s="46" t="s">
        <v>53</v>
      </c>
      <c r="J114" s="46" t="s">
        <v>84</v>
      </c>
      <c r="K114" s="46" t="s">
        <v>57</v>
      </c>
      <c r="L114" s="46" t="s">
        <v>58</v>
      </c>
      <c r="M114" s="46" t="s">
        <v>86</v>
      </c>
      <c r="N114" s="46" t="s">
        <v>60</v>
      </c>
      <c r="O114" s="47"/>
      <c r="P114" s="46" t="s">
        <v>66</v>
      </c>
      <c r="Q114" s="46" t="s">
        <v>112</v>
      </c>
      <c r="R114" s="35" t="s">
        <v>88</v>
      </c>
      <c r="S114" s="35" t="s">
        <v>89</v>
      </c>
      <c r="T114" s="35" t="s">
        <v>90</v>
      </c>
    </row>
    <row r="115" spans="1:20" ht="43.5" x14ac:dyDescent="0.35">
      <c r="A115" s="38" t="s">
        <v>240</v>
      </c>
      <c r="B115" s="39" t="s">
        <v>247</v>
      </c>
      <c r="C115" s="38">
        <v>1</v>
      </c>
      <c r="D115" s="38" t="s">
        <v>248</v>
      </c>
      <c r="E115" s="38" t="s">
        <v>47</v>
      </c>
      <c r="F115" s="38" t="s">
        <v>83</v>
      </c>
      <c r="G115" s="38" t="s">
        <v>84</v>
      </c>
      <c r="H115" s="38" t="s">
        <v>85</v>
      </c>
      <c r="I115" s="38" t="s">
        <v>53</v>
      </c>
      <c r="J115" s="38" t="s">
        <v>84</v>
      </c>
      <c r="K115" s="38" t="s">
        <v>57</v>
      </c>
      <c r="L115" s="38" t="s">
        <v>58</v>
      </c>
      <c r="M115" s="38" t="s">
        <v>86</v>
      </c>
      <c r="N115" s="38" t="s">
        <v>60</v>
      </c>
      <c r="O115" s="40"/>
      <c r="P115" s="38" t="s">
        <v>66</v>
      </c>
      <c r="Q115" s="38" t="s">
        <v>87</v>
      </c>
      <c r="R115" s="35" t="s">
        <v>88</v>
      </c>
      <c r="S115" s="35" t="s">
        <v>89</v>
      </c>
      <c r="T115" s="35" t="s">
        <v>90</v>
      </c>
    </row>
    <row r="116" spans="1:20" ht="43.5" x14ac:dyDescent="0.35">
      <c r="A116" s="38" t="s">
        <v>240</v>
      </c>
      <c r="B116" s="38" t="s">
        <v>247</v>
      </c>
      <c r="C116" s="38">
        <v>2</v>
      </c>
      <c r="D116" s="38" t="s">
        <v>139</v>
      </c>
      <c r="E116" s="38" t="s">
        <v>92</v>
      </c>
      <c r="F116" s="38" t="s">
        <v>249</v>
      </c>
      <c r="G116" s="38" t="s">
        <v>94</v>
      </c>
      <c r="H116" s="38" t="s">
        <v>95</v>
      </c>
      <c r="I116" s="38" t="s">
        <v>96</v>
      </c>
      <c r="J116" s="38" t="s">
        <v>97</v>
      </c>
      <c r="K116" s="38" t="s">
        <v>57</v>
      </c>
      <c r="L116" s="38" t="s">
        <v>58</v>
      </c>
      <c r="M116" s="38" t="s">
        <v>86</v>
      </c>
      <c r="N116" s="38" t="s">
        <v>60</v>
      </c>
      <c r="O116" s="40"/>
      <c r="P116" s="38" t="s">
        <v>66</v>
      </c>
      <c r="Q116" s="38" t="s">
        <v>98</v>
      </c>
      <c r="R116" s="35" t="s">
        <v>88</v>
      </c>
      <c r="S116" s="35" t="s">
        <v>89</v>
      </c>
      <c r="T116" s="35" t="s">
        <v>90</v>
      </c>
    </row>
    <row r="117" spans="1:20" ht="43.5" x14ac:dyDescent="0.35">
      <c r="A117" s="38" t="s">
        <v>240</v>
      </c>
      <c r="B117" s="38" t="s">
        <v>247</v>
      </c>
      <c r="C117" s="38">
        <v>3</v>
      </c>
      <c r="D117" s="38" t="s">
        <v>250</v>
      </c>
      <c r="E117" s="38" t="s">
        <v>100</v>
      </c>
      <c r="F117" s="38" t="s">
        <v>251</v>
      </c>
      <c r="G117" s="38" t="s">
        <v>84</v>
      </c>
      <c r="H117" s="38" t="s">
        <v>102</v>
      </c>
      <c r="I117" s="38" t="s">
        <v>96</v>
      </c>
      <c r="J117" s="38" t="s">
        <v>84</v>
      </c>
      <c r="K117" s="38" t="s">
        <v>57</v>
      </c>
      <c r="L117" s="38" t="s">
        <v>58</v>
      </c>
      <c r="M117" s="38" t="s">
        <v>86</v>
      </c>
      <c r="N117" s="38" t="s">
        <v>60</v>
      </c>
      <c r="O117" s="40"/>
      <c r="P117" s="38" t="s">
        <v>66</v>
      </c>
      <c r="Q117" s="38" t="s">
        <v>103</v>
      </c>
      <c r="R117" s="35" t="s">
        <v>88</v>
      </c>
      <c r="S117" s="35" t="s">
        <v>89</v>
      </c>
      <c r="T117" s="35" t="s">
        <v>90</v>
      </c>
    </row>
    <row r="118" spans="1:20" ht="43.5" x14ac:dyDescent="0.35">
      <c r="A118" s="38" t="s">
        <v>240</v>
      </c>
      <c r="B118" s="38" t="s">
        <v>247</v>
      </c>
      <c r="C118" s="38">
        <v>4</v>
      </c>
      <c r="D118" s="38" t="s">
        <v>104</v>
      </c>
      <c r="E118" s="38" t="s">
        <v>105</v>
      </c>
      <c r="F118" s="38" t="s">
        <v>83</v>
      </c>
      <c r="G118" s="38" t="s">
        <v>84</v>
      </c>
      <c r="H118" s="38" t="s">
        <v>106</v>
      </c>
      <c r="I118" s="38" t="s">
        <v>107</v>
      </c>
      <c r="J118" s="38" t="s">
        <v>84</v>
      </c>
      <c r="K118" s="38" t="s">
        <v>57</v>
      </c>
      <c r="L118" s="38" t="s">
        <v>58</v>
      </c>
      <c r="M118" s="38" t="s">
        <v>86</v>
      </c>
      <c r="N118" s="38" t="s">
        <v>60</v>
      </c>
      <c r="O118" s="40"/>
      <c r="P118" s="38" t="s">
        <v>66</v>
      </c>
      <c r="Q118" s="38" t="s">
        <v>108</v>
      </c>
      <c r="R118" s="35" t="s">
        <v>88</v>
      </c>
      <c r="S118" s="35" t="s">
        <v>89</v>
      </c>
      <c r="T118" s="35" t="s">
        <v>90</v>
      </c>
    </row>
    <row r="119" spans="1:20" ht="43.5" x14ac:dyDescent="0.35">
      <c r="A119" s="41" t="s">
        <v>240</v>
      </c>
      <c r="B119" s="41" t="s">
        <v>247</v>
      </c>
      <c r="C119" s="41">
        <v>5</v>
      </c>
      <c r="D119" s="41" t="s">
        <v>109</v>
      </c>
      <c r="E119" s="41" t="s">
        <v>105</v>
      </c>
      <c r="F119" s="41" t="s">
        <v>110</v>
      </c>
      <c r="G119" s="41" t="s">
        <v>84</v>
      </c>
      <c r="H119" s="41" t="s">
        <v>111</v>
      </c>
      <c r="I119" s="41" t="s">
        <v>53</v>
      </c>
      <c r="J119" s="41" t="s">
        <v>84</v>
      </c>
      <c r="K119" s="41" t="s">
        <v>57</v>
      </c>
      <c r="L119" s="41" t="s">
        <v>58</v>
      </c>
      <c r="M119" s="41" t="s">
        <v>86</v>
      </c>
      <c r="N119" s="41" t="s">
        <v>60</v>
      </c>
      <c r="O119" s="42"/>
      <c r="P119" s="41" t="s">
        <v>66</v>
      </c>
      <c r="Q119" s="41" t="s">
        <v>112</v>
      </c>
      <c r="R119" s="35" t="s">
        <v>88</v>
      </c>
      <c r="S119" s="35" t="s">
        <v>89</v>
      </c>
      <c r="T119" s="35" t="s">
        <v>90</v>
      </c>
    </row>
    <row r="120" spans="1:20" ht="43.5" x14ac:dyDescent="0.35">
      <c r="A120" s="43" t="s">
        <v>240</v>
      </c>
      <c r="B120" s="44" t="s">
        <v>252</v>
      </c>
      <c r="C120" s="43">
        <v>1</v>
      </c>
      <c r="D120" s="43" t="s">
        <v>253</v>
      </c>
      <c r="E120" s="43" t="s">
        <v>47</v>
      </c>
      <c r="F120" s="43" t="s">
        <v>83</v>
      </c>
      <c r="G120" s="43" t="s">
        <v>84</v>
      </c>
      <c r="H120" s="43" t="s">
        <v>85</v>
      </c>
      <c r="I120" s="43" t="s">
        <v>53</v>
      </c>
      <c r="J120" s="43" t="s">
        <v>84</v>
      </c>
      <c r="K120" s="43" t="s">
        <v>57</v>
      </c>
      <c r="L120" s="43" t="s">
        <v>58</v>
      </c>
      <c r="M120" s="43" t="s">
        <v>86</v>
      </c>
      <c r="N120" s="43" t="s">
        <v>60</v>
      </c>
      <c r="O120" s="45"/>
      <c r="P120" s="43" t="s">
        <v>66</v>
      </c>
      <c r="Q120" s="43" t="s">
        <v>87</v>
      </c>
      <c r="R120" s="35" t="s">
        <v>88</v>
      </c>
      <c r="S120" s="35" t="s">
        <v>89</v>
      </c>
      <c r="T120" s="35" t="s">
        <v>90</v>
      </c>
    </row>
    <row r="121" spans="1:20" ht="43.5" x14ac:dyDescent="0.35">
      <c r="A121" s="43" t="s">
        <v>240</v>
      </c>
      <c r="B121" s="43" t="s">
        <v>252</v>
      </c>
      <c r="C121" s="43">
        <v>2</v>
      </c>
      <c r="D121" s="43" t="s">
        <v>254</v>
      </c>
      <c r="E121" s="43" t="s">
        <v>92</v>
      </c>
      <c r="F121" s="43" t="s">
        <v>255</v>
      </c>
      <c r="G121" s="43" t="s">
        <v>94</v>
      </c>
      <c r="H121" s="43" t="s">
        <v>95</v>
      </c>
      <c r="I121" s="43" t="s">
        <v>96</v>
      </c>
      <c r="J121" s="43" t="s">
        <v>97</v>
      </c>
      <c r="K121" s="43" t="s">
        <v>57</v>
      </c>
      <c r="L121" s="43" t="s">
        <v>58</v>
      </c>
      <c r="M121" s="43" t="s">
        <v>86</v>
      </c>
      <c r="N121" s="43" t="s">
        <v>60</v>
      </c>
      <c r="O121" s="45"/>
      <c r="P121" s="43" t="s">
        <v>66</v>
      </c>
      <c r="Q121" s="43" t="s">
        <v>98</v>
      </c>
      <c r="R121" s="35" t="s">
        <v>88</v>
      </c>
      <c r="S121" s="35" t="s">
        <v>89</v>
      </c>
      <c r="T121" s="35" t="s">
        <v>90</v>
      </c>
    </row>
    <row r="122" spans="1:20" ht="43.5" x14ac:dyDescent="0.35">
      <c r="A122" s="43" t="s">
        <v>240</v>
      </c>
      <c r="B122" s="43" t="s">
        <v>252</v>
      </c>
      <c r="C122" s="43">
        <v>3</v>
      </c>
      <c r="D122" s="43" t="s">
        <v>99</v>
      </c>
      <c r="E122" s="43" t="s">
        <v>100</v>
      </c>
      <c r="F122" s="43" t="s">
        <v>256</v>
      </c>
      <c r="G122" s="43" t="s">
        <v>84</v>
      </c>
      <c r="H122" s="43" t="s">
        <v>102</v>
      </c>
      <c r="I122" s="43" t="s">
        <v>96</v>
      </c>
      <c r="J122" s="43" t="s">
        <v>84</v>
      </c>
      <c r="K122" s="43" t="s">
        <v>57</v>
      </c>
      <c r="L122" s="43" t="s">
        <v>58</v>
      </c>
      <c r="M122" s="43" t="s">
        <v>86</v>
      </c>
      <c r="N122" s="43" t="s">
        <v>60</v>
      </c>
      <c r="O122" s="45"/>
      <c r="P122" s="43" t="s">
        <v>66</v>
      </c>
      <c r="Q122" s="43" t="s">
        <v>103</v>
      </c>
      <c r="R122" s="35" t="s">
        <v>88</v>
      </c>
      <c r="S122" s="35" t="s">
        <v>89</v>
      </c>
      <c r="T122" s="35" t="s">
        <v>90</v>
      </c>
    </row>
    <row r="123" spans="1:20" ht="43.5" x14ac:dyDescent="0.35">
      <c r="A123" s="43" t="s">
        <v>240</v>
      </c>
      <c r="B123" s="43" t="s">
        <v>252</v>
      </c>
      <c r="C123" s="43">
        <v>4</v>
      </c>
      <c r="D123" s="43" t="s">
        <v>104</v>
      </c>
      <c r="E123" s="43" t="s">
        <v>105</v>
      </c>
      <c r="F123" s="43" t="s">
        <v>83</v>
      </c>
      <c r="G123" s="43" t="s">
        <v>84</v>
      </c>
      <c r="H123" s="43" t="s">
        <v>106</v>
      </c>
      <c r="I123" s="43" t="s">
        <v>107</v>
      </c>
      <c r="J123" s="43" t="s">
        <v>84</v>
      </c>
      <c r="K123" s="43" t="s">
        <v>57</v>
      </c>
      <c r="L123" s="43" t="s">
        <v>58</v>
      </c>
      <c r="M123" s="43" t="s">
        <v>86</v>
      </c>
      <c r="N123" s="43" t="s">
        <v>60</v>
      </c>
      <c r="O123" s="45"/>
      <c r="P123" s="43" t="s">
        <v>66</v>
      </c>
      <c r="Q123" s="43" t="s">
        <v>108</v>
      </c>
      <c r="R123" s="35" t="s">
        <v>88</v>
      </c>
      <c r="S123" s="35" t="s">
        <v>89</v>
      </c>
      <c r="T123" s="35" t="s">
        <v>90</v>
      </c>
    </row>
    <row r="124" spans="1:20" ht="43.5" x14ac:dyDescent="0.35">
      <c r="A124" s="46" t="s">
        <v>240</v>
      </c>
      <c r="B124" s="46" t="s">
        <v>252</v>
      </c>
      <c r="C124" s="46">
        <v>5</v>
      </c>
      <c r="D124" s="46" t="s">
        <v>109</v>
      </c>
      <c r="E124" s="46" t="s">
        <v>105</v>
      </c>
      <c r="F124" s="46" t="s">
        <v>110</v>
      </c>
      <c r="G124" s="46" t="s">
        <v>84</v>
      </c>
      <c r="H124" s="46" t="s">
        <v>111</v>
      </c>
      <c r="I124" s="46" t="s">
        <v>53</v>
      </c>
      <c r="J124" s="46" t="s">
        <v>84</v>
      </c>
      <c r="K124" s="46" t="s">
        <v>57</v>
      </c>
      <c r="L124" s="46" t="s">
        <v>58</v>
      </c>
      <c r="M124" s="46" t="s">
        <v>86</v>
      </c>
      <c r="N124" s="46" t="s">
        <v>60</v>
      </c>
      <c r="O124" s="47"/>
      <c r="P124" s="46" t="s">
        <v>66</v>
      </c>
      <c r="Q124" s="46" t="s">
        <v>112</v>
      </c>
      <c r="R124" s="35" t="s">
        <v>88</v>
      </c>
      <c r="S124" s="35" t="s">
        <v>89</v>
      </c>
      <c r="T124" s="35" t="s">
        <v>90</v>
      </c>
    </row>
    <row r="125" spans="1:20" ht="43.5" x14ac:dyDescent="0.35">
      <c r="A125" s="38" t="s">
        <v>240</v>
      </c>
      <c r="B125" s="39" t="s">
        <v>257</v>
      </c>
      <c r="C125" s="38">
        <v>1</v>
      </c>
      <c r="D125" s="38" t="s">
        <v>258</v>
      </c>
      <c r="E125" s="38" t="s">
        <v>47</v>
      </c>
      <c r="F125" s="38" t="s">
        <v>83</v>
      </c>
      <c r="G125" s="38" t="s">
        <v>84</v>
      </c>
      <c r="H125" s="38" t="s">
        <v>85</v>
      </c>
      <c r="I125" s="38" t="s">
        <v>53</v>
      </c>
      <c r="J125" s="38" t="s">
        <v>84</v>
      </c>
      <c r="K125" s="38" t="s">
        <v>57</v>
      </c>
      <c r="L125" s="38" t="s">
        <v>58</v>
      </c>
      <c r="M125" s="38" t="s">
        <v>86</v>
      </c>
      <c r="N125" s="38" t="s">
        <v>60</v>
      </c>
      <c r="O125" s="40"/>
      <c r="P125" s="38" t="s">
        <v>66</v>
      </c>
      <c r="Q125" s="38" t="s">
        <v>87</v>
      </c>
      <c r="R125" s="35" t="s">
        <v>88</v>
      </c>
      <c r="S125" s="35" t="s">
        <v>89</v>
      </c>
      <c r="T125" s="35" t="s">
        <v>90</v>
      </c>
    </row>
    <row r="126" spans="1:20" ht="43.5" x14ac:dyDescent="0.35">
      <c r="A126" s="38" t="s">
        <v>240</v>
      </c>
      <c r="B126" s="38" t="s">
        <v>257</v>
      </c>
      <c r="C126" s="38">
        <v>2</v>
      </c>
      <c r="D126" s="38" t="s">
        <v>259</v>
      </c>
      <c r="E126" s="38" t="s">
        <v>92</v>
      </c>
      <c r="F126" s="38" t="s">
        <v>260</v>
      </c>
      <c r="G126" s="38" t="s">
        <v>94</v>
      </c>
      <c r="H126" s="38" t="s">
        <v>95</v>
      </c>
      <c r="I126" s="38" t="s">
        <v>96</v>
      </c>
      <c r="J126" s="38" t="s">
        <v>97</v>
      </c>
      <c r="K126" s="38" t="s">
        <v>57</v>
      </c>
      <c r="L126" s="38" t="s">
        <v>58</v>
      </c>
      <c r="M126" s="38" t="s">
        <v>86</v>
      </c>
      <c r="N126" s="38" t="s">
        <v>60</v>
      </c>
      <c r="O126" s="40"/>
      <c r="P126" s="38" t="s">
        <v>66</v>
      </c>
      <c r="Q126" s="38" t="s">
        <v>98</v>
      </c>
      <c r="R126" s="35" t="s">
        <v>88</v>
      </c>
      <c r="S126" s="35" t="s">
        <v>89</v>
      </c>
      <c r="T126" s="35" t="s">
        <v>90</v>
      </c>
    </row>
    <row r="127" spans="1:20" ht="43.5" x14ac:dyDescent="0.35">
      <c r="A127" s="38" t="s">
        <v>240</v>
      </c>
      <c r="B127" s="38" t="s">
        <v>257</v>
      </c>
      <c r="C127" s="38">
        <v>3</v>
      </c>
      <c r="D127" s="38" t="s">
        <v>129</v>
      </c>
      <c r="E127" s="38" t="s">
        <v>100</v>
      </c>
      <c r="F127" s="38" t="s">
        <v>261</v>
      </c>
      <c r="G127" s="38" t="s">
        <v>84</v>
      </c>
      <c r="H127" s="38" t="s">
        <v>102</v>
      </c>
      <c r="I127" s="38" t="s">
        <v>96</v>
      </c>
      <c r="J127" s="38" t="s">
        <v>84</v>
      </c>
      <c r="K127" s="38" t="s">
        <v>57</v>
      </c>
      <c r="L127" s="38" t="s">
        <v>58</v>
      </c>
      <c r="M127" s="38" t="s">
        <v>86</v>
      </c>
      <c r="N127" s="38" t="s">
        <v>60</v>
      </c>
      <c r="O127" s="40"/>
      <c r="P127" s="38" t="s">
        <v>66</v>
      </c>
      <c r="Q127" s="38" t="s">
        <v>103</v>
      </c>
      <c r="R127" s="35" t="s">
        <v>88</v>
      </c>
      <c r="S127" s="35" t="s">
        <v>89</v>
      </c>
      <c r="T127" s="35" t="s">
        <v>90</v>
      </c>
    </row>
    <row r="128" spans="1:20" ht="43.5" x14ac:dyDescent="0.35">
      <c r="A128" s="38" t="s">
        <v>240</v>
      </c>
      <c r="B128" s="38" t="s">
        <v>257</v>
      </c>
      <c r="C128" s="38">
        <v>4</v>
      </c>
      <c r="D128" s="38" t="s">
        <v>104</v>
      </c>
      <c r="E128" s="38" t="s">
        <v>105</v>
      </c>
      <c r="F128" s="38" t="s">
        <v>83</v>
      </c>
      <c r="G128" s="38" t="s">
        <v>84</v>
      </c>
      <c r="H128" s="38" t="s">
        <v>106</v>
      </c>
      <c r="I128" s="38" t="s">
        <v>107</v>
      </c>
      <c r="J128" s="38" t="s">
        <v>84</v>
      </c>
      <c r="K128" s="38" t="s">
        <v>57</v>
      </c>
      <c r="L128" s="38" t="s">
        <v>58</v>
      </c>
      <c r="M128" s="38" t="s">
        <v>86</v>
      </c>
      <c r="N128" s="38" t="s">
        <v>60</v>
      </c>
      <c r="O128" s="40"/>
      <c r="P128" s="38" t="s">
        <v>66</v>
      </c>
      <c r="Q128" s="38" t="s">
        <v>108</v>
      </c>
      <c r="R128" s="35" t="s">
        <v>88</v>
      </c>
      <c r="S128" s="35" t="s">
        <v>89</v>
      </c>
      <c r="T128" s="35" t="s">
        <v>90</v>
      </c>
    </row>
    <row r="129" spans="1:20" ht="43.5" x14ac:dyDescent="0.35">
      <c r="A129" s="41" t="s">
        <v>240</v>
      </c>
      <c r="B129" s="41" t="s">
        <v>257</v>
      </c>
      <c r="C129" s="41">
        <v>5</v>
      </c>
      <c r="D129" s="41" t="s">
        <v>109</v>
      </c>
      <c r="E129" s="41" t="s">
        <v>105</v>
      </c>
      <c r="F129" s="41" t="s">
        <v>110</v>
      </c>
      <c r="G129" s="41" t="s">
        <v>84</v>
      </c>
      <c r="H129" s="41" t="s">
        <v>111</v>
      </c>
      <c r="I129" s="41" t="s">
        <v>53</v>
      </c>
      <c r="J129" s="41" t="s">
        <v>84</v>
      </c>
      <c r="K129" s="41" t="s">
        <v>57</v>
      </c>
      <c r="L129" s="41" t="s">
        <v>58</v>
      </c>
      <c r="M129" s="41" t="s">
        <v>86</v>
      </c>
      <c r="N129" s="41" t="s">
        <v>60</v>
      </c>
      <c r="O129" s="42"/>
      <c r="P129" s="41" t="s">
        <v>66</v>
      </c>
      <c r="Q129" s="41" t="s">
        <v>112</v>
      </c>
      <c r="R129" s="35" t="s">
        <v>88</v>
      </c>
      <c r="S129" s="35" t="s">
        <v>89</v>
      </c>
      <c r="T129" s="35" t="s">
        <v>90</v>
      </c>
    </row>
    <row r="130" spans="1:20" ht="43.5" x14ac:dyDescent="0.35">
      <c r="A130" s="43" t="s">
        <v>240</v>
      </c>
      <c r="B130" s="44" t="s">
        <v>262</v>
      </c>
      <c r="C130" s="43">
        <v>1</v>
      </c>
      <c r="D130" s="43" t="s">
        <v>263</v>
      </c>
      <c r="E130" s="43" t="s">
        <v>47</v>
      </c>
      <c r="F130" s="43" t="s">
        <v>83</v>
      </c>
      <c r="G130" s="43" t="s">
        <v>84</v>
      </c>
      <c r="H130" s="43" t="s">
        <v>85</v>
      </c>
      <c r="I130" s="43" t="s">
        <v>53</v>
      </c>
      <c r="J130" s="43" t="s">
        <v>84</v>
      </c>
      <c r="K130" s="43" t="s">
        <v>57</v>
      </c>
      <c r="L130" s="43" t="s">
        <v>58</v>
      </c>
      <c r="M130" s="43" t="s">
        <v>86</v>
      </c>
      <c r="N130" s="43" t="s">
        <v>60</v>
      </c>
      <c r="O130" s="45"/>
      <c r="P130" s="43" t="s">
        <v>66</v>
      </c>
      <c r="Q130" s="43" t="s">
        <v>87</v>
      </c>
      <c r="R130" s="35" t="s">
        <v>88</v>
      </c>
      <c r="S130" s="35" t="s">
        <v>89</v>
      </c>
      <c r="T130" s="35" t="s">
        <v>90</v>
      </c>
    </row>
    <row r="131" spans="1:20" ht="43.5" x14ac:dyDescent="0.35">
      <c r="A131" s="43" t="s">
        <v>240</v>
      </c>
      <c r="B131" s="43" t="s">
        <v>262</v>
      </c>
      <c r="C131" s="43">
        <v>2</v>
      </c>
      <c r="D131" s="43" t="s">
        <v>139</v>
      </c>
      <c r="E131" s="43" t="s">
        <v>92</v>
      </c>
      <c r="F131" s="43" t="s">
        <v>264</v>
      </c>
      <c r="G131" s="43" t="s">
        <v>94</v>
      </c>
      <c r="H131" s="43" t="s">
        <v>95</v>
      </c>
      <c r="I131" s="43" t="s">
        <v>96</v>
      </c>
      <c r="J131" s="43" t="s">
        <v>97</v>
      </c>
      <c r="K131" s="43" t="s">
        <v>57</v>
      </c>
      <c r="L131" s="43" t="s">
        <v>58</v>
      </c>
      <c r="M131" s="43" t="s">
        <v>86</v>
      </c>
      <c r="N131" s="43" t="s">
        <v>60</v>
      </c>
      <c r="O131" s="45"/>
      <c r="P131" s="43" t="s">
        <v>66</v>
      </c>
      <c r="Q131" s="43" t="s">
        <v>98</v>
      </c>
      <c r="R131" s="35" t="s">
        <v>88</v>
      </c>
      <c r="S131" s="35" t="s">
        <v>89</v>
      </c>
      <c r="T131" s="35" t="s">
        <v>90</v>
      </c>
    </row>
    <row r="132" spans="1:20" ht="43.5" x14ac:dyDescent="0.35">
      <c r="A132" s="43" t="s">
        <v>240</v>
      </c>
      <c r="B132" s="43" t="s">
        <v>262</v>
      </c>
      <c r="C132" s="43">
        <v>3</v>
      </c>
      <c r="D132" s="43" t="s">
        <v>148</v>
      </c>
      <c r="E132" s="43" t="s">
        <v>100</v>
      </c>
      <c r="F132" s="43" t="s">
        <v>265</v>
      </c>
      <c r="G132" s="43" t="s">
        <v>84</v>
      </c>
      <c r="H132" s="43" t="s">
        <v>102</v>
      </c>
      <c r="I132" s="43" t="s">
        <v>96</v>
      </c>
      <c r="J132" s="43" t="s">
        <v>84</v>
      </c>
      <c r="K132" s="43" t="s">
        <v>57</v>
      </c>
      <c r="L132" s="43" t="s">
        <v>58</v>
      </c>
      <c r="M132" s="43" t="s">
        <v>86</v>
      </c>
      <c r="N132" s="43" t="s">
        <v>60</v>
      </c>
      <c r="O132" s="45"/>
      <c r="P132" s="43" t="s">
        <v>66</v>
      </c>
      <c r="Q132" s="43" t="s">
        <v>103</v>
      </c>
      <c r="R132" s="35" t="s">
        <v>88</v>
      </c>
      <c r="S132" s="35" t="s">
        <v>89</v>
      </c>
      <c r="T132" s="35" t="s">
        <v>90</v>
      </c>
    </row>
    <row r="133" spans="1:20" ht="43.5" x14ac:dyDescent="0.35">
      <c r="A133" s="43" t="s">
        <v>240</v>
      </c>
      <c r="B133" s="43" t="s">
        <v>262</v>
      </c>
      <c r="C133" s="43">
        <v>4</v>
      </c>
      <c r="D133" s="43" t="s">
        <v>104</v>
      </c>
      <c r="E133" s="43" t="s">
        <v>105</v>
      </c>
      <c r="F133" s="43" t="s">
        <v>83</v>
      </c>
      <c r="G133" s="43" t="s">
        <v>84</v>
      </c>
      <c r="H133" s="43" t="s">
        <v>106</v>
      </c>
      <c r="I133" s="43" t="s">
        <v>107</v>
      </c>
      <c r="J133" s="43" t="s">
        <v>84</v>
      </c>
      <c r="K133" s="43" t="s">
        <v>57</v>
      </c>
      <c r="L133" s="43" t="s">
        <v>58</v>
      </c>
      <c r="M133" s="43" t="s">
        <v>86</v>
      </c>
      <c r="N133" s="43" t="s">
        <v>60</v>
      </c>
      <c r="O133" s="45"/>
      <c r="P133" s="43" t="s">
        <v>66</v>
      </c>
      <c r="Q133" s="43" t="s">
        <v>108</v>
      </c>
      <c r="R133" s="35" t="s">
        <v>88</v>
      </c>
      <c r="S133" s="35" t="s">
        <v>89</v>
      </c>
      <c r="T133" s="35" t="s">
        <v>90</v>
      </c>
    </row>
    <row r="134" spans="1:20" ht="43.5" x14ac:dyDescent="0.35">
      <c r="A134" s="46" t="s">
        <v>240</v>
      </c>
      <c r="B134" s="46" t="s">
        <v>262</v>
      </c>
      <c r="C134" s="46">
        <v>5</v>
      </c>
      <c r="D134" s="46" t="s">
        <v>109</v>
      </c>
      <c r="E134" s="46" t="s">
        <v>105</v>
      </c>
      <c r="F134" s="46" t="s">
        <v>110</v>
      </c>
      <c r="G134" s="46" t="s">
        <v>84</v>
      </c>
      <c r="H134" s="46" t="s">
        <v>111</v>
      </c>
      <c r="I134" s="46" t="s">
        <v>53</v>
      </c>
      <c r="J134" s="46" t="s">
        <v>84</v>
      </c>
      <c r="K134" s="46" t="s">
        <v>57</v>
      </c>
      <c r="L134" s="46" t="s">
        <v>58</v>
      </c>
      <c r="M134" s="46" t="s">
        <v>86</v>
      </c>
      <c r="N134" s="46" t="s">
        <v>60</v>
      </c>
      <c r="O134" s="47"/>
      <c r="P134" s="46" t="s">
        <v>66</v>
      </c>
      <c r="Q134" s="46" t="s">
        <v>112</v>
      </c>
      <c r="R134" s="35" t="s">
        <v>88</v>
      </c>
      <c r="S134" s="35" t="s">
        <v>89</v>
      </c>
      <c r="T134" s="35" t="s">
        <v>90</v>
      </c>
    </row>
    <row r="135" spans="1:20" ht="43.5" x14ac:dyDescent="0.35">
      <c r="A135" s="38" t="s">
        <v>240</v>
      </c>
      <c r="B135" s="39" t="s">
        <v>266</v>
      </c>
      <c r="C135" s="38">
        <v>1</v>
      </c>
      <c r="D135" s="38" t="s">
        <v>267</v>
      </c>
      <c r="E135" s="38" t="s">
        <v>47</v>
      </c>
      <c r="F135" s="38" t="s">
        <v>83</v>
      </c>
      <c r="G135" s="38" t="s">
        <v>84</v>
      </c>
      <c r="H135" s="38" t="s">
        <v>85</v>
      </c>
      <c r="I135" s="38" t="s">
        <v>53</v>
      </c>
      <c r="J135" s="38" t="s">
        <v>84</v>
      </c>
      <c r="K135" s="38" t="s">
        <v>57</v>
      </c>
      <c r="L135" s="38" t="s">
        <v>58</v>
      </c>
      <c r="M135" s="38" t="s">
        <v>86</v>
      </c>
      <c r="N135" s="38" t="s">
        <v>60</v>
      </c>
      <c r="O135" s="40"/>
      <c r="P135" s="38" t="s">
        <v>66</v>
      </c>
      <c r="Q135" s="38" t="s">
        <v>87</v>
      </c>
      <c r="R135" s="35" t="s">
        <v>88</v>
      </c>
      <c r="S135" s="35" t="s">
        <v>89</v>
      </c>
      <c r="T135" s="35" t="s">
        <v>90</v>
      </c>
    </row>
    <row r="136" spans="1:20" ht="43.5" x14ac:dyDescent="0.35">
      <c r="A136" s="38" t="s">
        <v>240</v>
      </c>
      <c r="B136" s="38" t="s">
        <v>266</v>
      </c>
      <c r="C136" s="38">
        <v>2</v>
      </c>
      <c r="D136" s="38" t="s">
        <v>139</v>
      </c>
      <c r="E136" s="38" t="s">
        <v>92</v>
      </c>
      <c r="F136" s="38" t="s">
        <v>268</v>
      </c>
      <c r="G136" s="38" t="s">
        <v>94</v>
      </c>
      <c r="H136" s="38" t="s">
        <v>95</v>
      </c>
      <c r="I136" s="38" t="s">
        <v>96</v>
      </c>
      <c r="J136" s="38" t="s">
        <v>97</v>
      </c>
      <c r="K136" s="38" t="s">
        <v>57</v>
      </c>
      <c r="L136" s="38" t="s">
        <v>58</v>
      </c>
      <c r="M136" s="38" t="s">
        <v>86</v>
      </c>
      <c r="N136" s="38" t="s">
        <v>60</v>
      </c>
      <c r="O136" s="40"/>
      <c r="P136" s="38" t="s">
        <v>66</v>
      </c>
      <c r="Q136" s="38" t="s">
        <v>98</v>
      </c>
      <c r="R136" s="35" t="s">
        <v>88</v>
      </c>
      <c r="S136" s="35" t="s">
        <v>89</v>
      </c>
      <c r="T136" s="35" t="s">
        <v>90</v>
      </c>
    </row>
    <row r="137" spans="1:20" ht="43.5" x14ac:dyDescent="0.35">
      <c r="A137" s="38" t="s">
        <v>240</v>
      </c>
      <c r="B137" s="38" t="s">
        <v>266</v>
      </c>
      <c r="C137" s="38">
        <v>3</v>
      </c>
      <c r="D137" s="38" t="s">
        <v>129</v>
      </c>
      <c r="E137" s="38" t="s">
        <v>100</v>
      </c>
      <c r="F137" s="38" t="s">
        <v>269</v>
      </c>
      <c r="G137" s="38" t="s">
        <v>84</v>
      </c>
      <c r="H137" s="38" t="s">
        <v>102</v>
      </c>
      <c r="I137" s="38" t="s">
        <v>96</v>
      </c>
      <c r="J137" s="38" t="s">
        <v>84</v>
      </c>
      <c r="K137" s="38" t="s">
        <v>57</v>
      </c>
      <c r="L137" s="38" t="s">
        <v>58</v>
      </c>
      <c r="M137" s="38" t="s">
        <v>86</v>
      </c>
      <c r="N137" s="38" t="s">
        <v>60</v>
      </c>
      <c r="O137" s="40"/>
      <c r="P137" s="38" t="s">
        <v>66</v>
      </c>
      <c r="Q137" s="38" t="s">
        <v>103</v>
      </c>
      <c r="R137" s="35" t="s">
        <v>88</v>
      </c>
      <c r="S137" s="35" t="s">
        <v>89</v>
      </c>
      <c r="T137" s="35" t="s">
        <v>90</v>
      </c>
    </row>
    <row r="138" spans="1:20" ht="43.5" x14ac:dyDescent="0.35">
      <c r="A138" s="38" t="s">
        <v>240</v>
      </c>
      <c r="B138" s="38" t="s">
        <v>266</v>
      </c>
      <c r="C138" s="38">
        <v>4</v>
      </c>
      <c r="D138" s="38" t="s">
        <v>104</v>
      </c>
      <c r="E138" s="38" t="s">
        <v>105</v>
      </c>
      <c r="F138" s="38" t="s">
        <v>83</v>
      </c>
      <c r="G138" s="38" t="s">
        <v>84</v>
      </c>
      <c r="H138" s="38" t="s">
        <v>106</v>
      </c>
      <c r="I138" s="38" t="s">
        <v>107</v>
      </c>
      <c r="J138" s="38" t="s">
        <v>84</v>
      </c>
      <c r="K138" s="38" t="s">
        <v>57</v>
      </c>
      <c r="L138" s="38" t="s">
        <v>58</v>
      </c>
      <c r="M138" s="38" t="s">
        <v>86</v>
      </c>
      <c r="N138" s="38" t="s">
        <v>60</v>
      </c>
      <c r="O138" s="40"/>
      <c r="P138" s="38" t="s">
        <v>66</v>
      </c>
      <c r="Q138" s="38" t="s">
        <v>108</v>
      </c>
      <c r="R138" s="35" t="s">
        <v>88</v>
      </c>
      <c r="S138" s="35" t="s">
        <v>89</v>
      </c>
      <c r="T138" s="35" t="s">
        <v>90</v>
      </c>
    </row>
    <row r="139" spans="1:20" ht="43.5" x14ac:dyDescent="0.35">
      <c r="A139" s="41" t="s">
        <v>240</v>
      </c>
      <c r="B139" s="41" t="s">
        <v>266</v>
      </c>
      <c r="C139" s="41">
        <v>5</v>
      </c>
      <c r="D139" s="41" t="s">
        <v>109</v>
      </c>
      <c r="E139" s="41" t="s">
        <v>105</v>
      </c>
      <c r="F139" s="41" t="s">
        <v>110</v>
      </c>
      <c r="G139" s="41" t="s">
        <v>84</v>
      </c>
      <c r="H139" s="41" t="s">
        <v>111</v>
      </c>
      <c r="I139" s="41" t="s">
        <v>53</v>
      </c>
      <c r="J139" s="41" t="s">
        <v>84</v>
      </c>
      <c r="K139" s="41" t="s">
        <v>57</v>
      </c>
      <c r="L139" s="41" t="s">
        <v>58</v>
      </c>
      <c r="M139" s="41" t="s">
        <v>86</v>
      </c>
      <c r="N139" s="41" t="s">
        <v>60</v>
      </c>
      <c r="O139" s="42"/>
      <c r="P139" s="41" t="s">
        <v>66</v>
      </c>
      <c r="Q139" s="41" t="s">
        <v>112</v>
      </c>
      <c r="R139" s="35" t="s">
        <v>88</v>
      </c>
      <c r="S139" s="35" t="s">
        <v>89</v>
      </c>
      <c r="T139" s="35" t="s">
        <v>90</v>
      </c>
    </row>
    <row r="140" spans="1:20" ht="43.5" x14ac:dyDescent="0.35">
      <c r="A140" s="43" t="s">
        <v>240</v>
      </c>
      <c r="B140" s="44" t="s">
        <v>270</v>
      </c>
      <c r="C140" s="43">
        <v>1</v>
      </c>
      <c r="D140" s="43" t="s">
        <v>271</v>
      </c>
      <c r="E140" s="43" t="s">
        <v>47</v>
      </c>
      <c r="F140" s="43" t="s">
        <v>83</v>
      </c>
      <c r="G140" s="43" t="s">
        <v>84</v>
      </c>
      <c r="H140" s="43" t="s">
        <v>85</v>
      </c>
      <c r="I140" s="43" t="s">
        <v>53</v>
      </c>
      <c r="J140" s="43" t="s">
        <v>84</v>
      </c>
      <c r="K140" s="43" t="s">
        <v>57</v>
      </c>
      <c r="L140" s="43" t="s">
        <v>58</v>
      </c>
      <c r="M140" s="43" t="s">
        <v>86</v>
      </c>
      <c r="N140" s="43" t="s">
        <v>60</v>
      </c>
      <c r="O140" s="45"/>
      <c r="P140" s="43" t="s">
        <v>66</v>
      </c>
      <c r="Q140" s="43" t="s">
        <v>87</v>
      </c>
      <c r="R140" s="35" t="s">
        <v>88</v>
      </c>
      <c r="S140" s="35" t="s">
        <v>89</v>
      </c>
      <c r="T140" s="35" t="s">
        <v>90</v>
      </c>
    </row>
    <row r="141" spans="1:20" ht="43.5" x14ac:dyDescent="0.35">
      <c r="A141" s="43" t="s">
        <v>240</v>
      </c>
      <c r="B141" s="43" t="s">
        <v>270</v>
      </c>
      <c r="C141" s="43">
        <v>2</v>
      </c>
      <c r="D141" s="43" t="s">
        <v>272</v>
      </c>
      <c r="E141" s="43" t="s">
        <v>92</v>
      </c>
      <c r="F141" s="43" t="s">
        <v>273</v>
      </c>
      <c r="G141" s="43" t="s">
        <v>94</v>
      </c>
      <c r="H141" s="43" t="s">
        <v>95</v>
      </c>
      <c r="I141" s="43" t="s">
        <v>96</v>
      </c>
      <c r="J141" s="43" t="s">
        <v>97</v>
      </c>
      <c r="K141" s="43" t="s">
        <v>57</v>
      </c>
      <c r="L141" s="43" t="s">
        <v>58</v>
      </c>
      <c r="M141" s="43" t="s">
        <v>86</v>
      </c>
      <c r="N141" s="43" t="s">
        <v>60</v>
      </c>
      <c r="O141" s="45"/>
      <c r="P141" s="43" t="s">
        <v>66</v>
      </c>
      <c r="Q141" s="43" t="s">
        <v>98</v>
      </c>
      <c r="R141" s="35" t="s">
        <v>88</v>
      </c>
      <c r="S141" s="35" t="s">
        <v>89</v>
      </c>
      <c r="T141" s="35" t="s">
        <v>90</v>
      </c>
    </row>
    <row r="142" spans="1:20" ht="43.5" x14ac:dyDescent="0.35">
      <c r="A142" s="43" t="s">
        <v>240</v>
      </c>
      <c r="B142" s="43" t="s">
        <v>270</v>
      </c>
      <c r="C142" s="43">
        <v>3</v>
      </c>
      <c r="D142" s="43" t="s">
        <v>129</v>
      </c>
      <c r="E142" s="43" t="s">
        <v>100</v>
      </c>
      <c r="F142" s="43" t="s">
        <v>274</v>
      </c>
      <c r="G142" s="43" t="s">
        <v>84</v>
      </c>
      <c r="H142" s="43" t="s">
        <v>102</v>
      </c>
      <c r="I142" s="43" t="s">
        <v>96</v>
      </c>
      <c r="J142" s="43" t="s">
        <v>84</v>
      </c>
      <c r="K142" s="43" t="s">
        <v>57</v>
      </c>
      <c r="L142" s="43" t="s">
        <v>58</v>
      </c>
      <c r="M142" s="43" t="s">
        <v>86</v>
      </c>
      <c r="N142" s="43" t="s">
        <v>60</v>
      </c>
      <c r="O142" s="45"/>
      <c r="P142" s="43" t="s">
        <v>66</v>
      </c>
      <c r="Q142" s="43" t="s">
        <v>103</v>
      </c>
      <c r="R142" s="35" t="s">
        <v>88</v>
      </c>
      <c r="S142" s="35" t="s">
        <v>89</v>
      </c>
      <c r="T142" s="35" t="s">
        <v>90</v>
      </c>
    </row>
    <row r="143" spans="1:20" ht="43.5" x14ac:dyDescent="0.35">
      <c r="A143" s="43" t="s">
        <v>240</v>
      </c>
      <c r="B143" s="43" t="s">
        <v>270</v>
      </c>
      <c r="C143" s="43">
        <v>4</v>
      </c>
      <c r="D143" s="43" t="s">
        <v>104</v>
      </c>
      <c r="E143" s="43" t="s">
        <v>105</v>
      </c>
      <c r="F143" s="43" t="s">
        <v>83</v>
      </c>
      <c r="G143" s="43" t="s">
        <v>84</v>
      </c>
      <c r="H143" s="43" t="s">
        <v>106</v>
      </c>
      <c r="I143" s="43" t="s">
        <v>107</v>
      </c>
      <c r="J143" s="43" t="s">
        <v>84</v>
      </c>
      <c r="K143" s="43" t="s">
        <v>57</v>
      </c>
      <c r="L143" s="43" t="s">
        <v>58</v>
      </c>
      <c r="M143" s="43" t="s">
        <v>86</v>
      </c>
      <c r="N143" s="43" t="s">
        <v>60</v>
      </c>
      <c r="O143" s="45"/>
      <c r="P143" s="43" t="s">
        <v>66</v>
      </c>
      <c r="Q143" s="43" t="s">
        <v>108</v>
      </c>
      <c r="R143" s="35" t="s">
        <v>88</v>
      </c>
      <c r="S143" s="35" t="s">
        <v>89</v>
      </c>
      <c r="T143" s="35" t="s">
        <v>90</v>
      </c>
    </row>
    <row r="144" spans="1:20" ht="43.5" x14ac:dyDescent="0.35">
      <c r="A144" s="46" t="s">
        <v>240</v>
      </c>
      <c r="B144" s="46" t="s">
        <v>270</v>
      </c>
      <c r="C144" s="46">
        <v>5</v>
      </c>
      <c r="D144" s="46" t="s">
        <v>109</v>
      </c>
      <c r="E144" s="46" t="s">
        <v>105</v>
      </c>
      <c r="F144" s="46" t="s">
        <v>110</v>
      </c>
      <c r="G144" s="46" t="s">
        <v>84</v>
      </c>
      <c r="H144" s="46" t="s">
        <v>111</v>
      </c>
      <c r="I144" s="46" t="s">
        <v>53</v>
      </c>
      <c r="J144" s="46" t="s">
        <v>84</v>
      </c>
      <c r="K144" s="46" t="s">
        <v>57</v>
      </c>
      <c r="L144" s="46" t="s">
        <v>58</v>
      </c>
      <c r="M144" s="46" t="s">
        <v>86</v>
      </c>
      <c r="N144" s="46" t="s">
        <v>60</v>
      </c>
      <c r="O144" s="47"/>
      <c r="P144" s="46" t="s">
        <v>66</v>
      </c>
      <c r="Q144" s="46" t="s">
        <v>112</v>
      </c>
      <c r="R144" s="35" t="s">
        <v>88</v>
      </c>
      <c r="S144" s="35" t="s">
        <v>89</v>
      </c>
      <c r="T144" s="35" t="s">
        <v>90</v>
      </c>
    </row>
    <row r="145" spans="1:20" ht="43.5" x14ac:dyDescent="0.35">
      <c r="A145" s="38" t="s">
        <v>240</v>
      </c>
      <c r="B145" s="39" t="s">
        <v>275</v>
      </c>
      <c r="C145" s="38">
        <v>1</v>
      </c>
      <c r="D145" s="38" t="s">
        <v>276</v>
      </c>
      <c r="E145" s="38" t="s">
        <v>47</v>
      </c>
      <c r="F145" s="38" t="s">
        <v>83</v>
      </c>
      <c r="G145" s="38" t="s">
        <v>84</v>
      </c>
      <c r="H145" s="38" t="s">
        <v>85</v>
      </c>
      <c r="I145" s="38" t="s">
        <v>53</v>
      </c>
      <c r="J145" s="38" t="s">
        <v>84</v>
      </c>
      <c r="K145" s="38" t="s">
        <v>57</v>
      </c>
      <c r="L145" s="38" t="s">
        <v>58</v>
      </c>
      <c r="M145" s="38" t="s">
        <v>86</v>
      </c>
      <c r="N145" s="38" t="s">
        <v>60</v>
      </c>
      <c r="O145" s="40"/>
      <c r="P145" s="38" t="s">
        <v>66</v>
      </c>
      <c r="Q145" s="38" t="s">
        <v>87</v>
      </c>
      <c r="R145" s="35" t="s">
        <v>88</v>
      </c>
      <c r="S145" s="35" t="s">
        <v>89</v>
      </c>
      <c r="T145" s="35" t="s">
        <v>90</v>
      </c>
    </row>
    <row r="146" spans="1:20" ht="43.5" x14ac:dyDescent="0.35">
      <c r="A146" s="38" t="s">
        <v>240</v>
      </c>
      <c r="B146" s="38" t="s">
        <v>275</v>
      </c>
      <c r="C146" s="38">
        <v>2</v>
      </c>
      <c r="D146" s="38" t="s">
        <v>277</v>
      </c>
      <c r="E146" s="38" t="s">
        <v>92</v>
      </c>
      <c r="F146" s="38" t="s">
        <v>278</v>
      </c>
      <c r="G146" s="38" t="s">
        <v>94</v>
      </c>
      <c r="H146" s="38" t="s">
        <v>95</v>
      </c>
      <c r="I146" s="38" t="s">
        <v>96</v>
      </c>
      <c r="J146" s="38" t="s">
        <v>97</v>
      </c>
      <c r="K146" s="38" t="s">
        <v>57</v>
      </c>
      <c r="L146" s="38" t="s">
        <v>58</v>
      </c>
      <c r="M146" s="38" t="s">
        <v>86</v>
      </c>
      <c r="N146" s="38" t="s">
        <v>60</v>
      </c>
      <c r="O146" s="40"/>
      <c r="P146" s="38" t="s">
        <v>66</v>
      </c>
      <c r="Q146" s="38" t="s">
        <v>98</v>
      </c>
      <c r="R146" s="35" t="s">
        <v>88</v>
      </c>
      <c r="S146" s="35" t="s">
        <v>89</v>
      </c>
      <c r="T146" s="35" t="s">
        <v>90</v>
      </c>
    </row>
    <row r="147" spans="1:20" ht="43.5" x14ac:dyDescent="0.35">
      <c r="A147" s="38" t="s">
        <v>240</v>
      </c>
      <c r="B147" s="38" t="s">
        <v>275</v>
      </c>
      <c r="C147" s="38">
        <v>3</v>
      </c>
      <c r="D147" s="38" t="s">
        <v>129</v>
      </c>
      <c r="E147" s="38" t="s">
        <v>100</v>
      </c>
      <c r="F147" s="38" t="s">
        <v>279</v>
      </c>
      <c r="G147" s="38" t="s">
        <v>84</v>
      </c>
      <c r="H147" s="38" t="s">
        <v>102</v>
      </c>
      <c r="I147" s="38" t="s">
        <v>96</v>
      </c>
      <c r="J147" s="38" t="s">
        <v>84</v>
      </c>
      <c r="K147" s="38" t="s">
        <v>57</v>
      </c>
      <c r="L147" s="38" t="s">
        <v>58</v>
      </c>
      <c r="M147" s="38" t="s">
        <v>86</v>
      </c>
      <c r="N147" s="38" t="s">
        <v>60</v>
      </c>
      <c r="O147" s="40"/>
      <c r="P147" s="38" t="s">
        <v>66</v>
      </c>
      <c r="Q147" s="38" t="s">
        <v>103</v>
      </c>
      <c r="R147" s="35" t="s">
        <v>88</v>
      </c>
      <c r="S147" s="35" t="s">
        <v>89</v>
      </c>
      <c r="T147" s="35" t="s">
        <v>90</v>
      </c>
    </row>
    <row r="148" spans="1:20" ht="43.5" x14ac:dyDescent="0.35">
      <c r="A148" s="38" t="s">
        <v>240</v>
      </c>
      <c r="B148" s="38" t="s">
        <v>275</v>
      </c>
      <c r="C148" s="38">
        <v>4</v>
      </c>
      <c r="D148" s="38" t="s">
        <v>104</v>
      </c>
      <c r="E148" s="38" t="s">
        <v>105</v>
      </c>
      <c r="F148" s="38" t="s">
        <v>83</v>
      </c>
      <c r="G148" s="38" t="s">
        <v>84</v>
      </c>
      <c r="H148" s="38" t="s">
        <v>106</v>
      </c>
      <c r="I148" s="38" t="s">
        <v>107</v>
      </c>
      <c r="J148" s="38" t="s">
        <v>84</v>
      </c>
      <c r="K148" s="38" t="s">
        <v>57</v>
      </c>
      <c r="L148" s="38" t="s">
        <v>58</v>
      </c>
      <c r="M148" s="38" t="s">
        <v>86</v>
      </c>
      <c r="N148" s="38" t="s">
        <v>60</v>
      </c>
      <c r="O148" s="40"/>
      <c r="P148" s="38" t="s">
        <v>66</v>
      </c>
      <c r="Q148" s="38" t="s">
        <v>108</v>
      </c>
      <c r="R148" s="35" t="s">
        <v>88</v>
      </c>
      <c r="S148" s="35" t="s">
        <v>89</v>
      </c>
      <c r="T148" s="35" t="s">
        <v>90</v>
      </c>
    </row>
    <row r="149" spans="1:20" ht="43.5" x14ac:dyDescent="0.35">
      <c r="A149" s="41" t="s">
        <v>240</v>
      </c>
      <c r="B149" s="41" t="s">
        <v>275</v>
      </c>
      <c r="C149" s="41">
        <v>5</v>
      </c>
      <c r="D149" s="41" t="s">
        <v>109</v>
      </c>
      <c r="E149" s="41" t="s">
        <v>105</v>
      </c>
      <c r="F149" s="41" t="s">
        <v>110</v>
      </c>
      <c r="G149" s="41" t="s">
        <v>84</v>
      </c>
      <c r="H149" s="41" t="s">
        <v>111</v>
      </c>
      <c r="I149" s="41" t="s">
        <v>53</v>
      </c>
      <c r="J149" s="41" t="s">
        <v>84</v>
      </c>
      <c r="K149" s="41" t="s">
        <v>57</v>
      </c>
      <c r="L149" s="41" t="s">
        <v>58</v>
      </c>
      <c r="M149" s="41" t="s">
        <v>86</v>
      </c>
      <c r="N149" s="41" t="s">
        <v>60</v>
      </c>
      <c r="O149" s="42"/>
      <c r="P149" s="41" t="s">
        <v>66</v>
      </c>
      <c r="Q149" s="41" t="s">
        <v>112</v>
      </c>
      <c r="R149" s="35" t="s">
        <v>88</v>
      </c>
      <c r="S149" s="35" t="s">
        <v>89</v>
      </c>
      <c r="T149" s="35" t="s">
        <v>90</v>
      </c>
    </row>
    <row r="150" spans="1:20" ht="43.5" x14ac:dyDescent="0.35">
      <c r="A150" s="43" t="s">
        <v>240</v>
      </c>
      <c r="B150" s="44" t="s">
        <v>280</v>
      </c>
      <c r="C150" s="43">
        <v>1</v>
      </c>
      <c r="D150" s="43" t="s">
        <v>281</v>
      </c>
      <c r="E150" s="43" t="s">
        <v>47</v>
      </c>
      <c r="F150" s="43" t="s">
        <v>83</v>
      </c>
      <c r="G150" s="43" t="s">
        <v>84</v>
      </c>
      <c r="H150" s="43" t="s">
        <v>85</v>
      </c>
      <c r="I150" s="43" t="s">
        <v>53</v>
      </c>
      <c r="J150" s="43" t="s">
        <v>84</v>
      </c>
      <c r="K150" s="43" t="s">
        <v>57</v>
      </c>
      <c r="L150" s="43" t="s">
        <v>58</v>
      </c>
      <c r="M150" s="43" t="s">
        <v>86</v>
      </c>
      <c r="N150" s="43" t="s">
        <v>60</v>
      </c>
      <c r="O150" s="45"/>
      <c r="P150" s="43" t="s">
        <v>66</v>
      </c>
      <c r="Q150" s="43" t="s">
        <v>87</v>
      </c>
      <c r="R150" s="35" t="s">
        <v>88</v>
      </c>
      <c r="S150" s="35" t="s">
        <v>89</v>
      </c>
      <c r="T150" s="35" t="s">
        <v>90</v>
      </c>
    </row>
    <row r="151" spans="1:20" ht="43.5" x14ac:dyDescent="0.35">
      <c r="A151" s="43" t="s">
        <v>240</v>
      </c>
      <c r="B151" s="43" t="s">
        <v>280</v>
      </c>
      <c r="C151" s="43">
        <v>2</v>
      </c>
      <c r="D151" s="43" t="s">
        <v>184</v>
      </c>
      <c r="E151" s="43" t="s">
        <v>92</v>
      </c>
      <c r="F151" s="43" t="s">
        <v>282</v>
      </c>
      <c r="G151" s="43" t="s">
        <v>94</v>
      </c>
      <c r="H151" s="43" t="s">
        <v>95</v>
      </c>
      <c r="I151" s="43" t="s">
        <v>96</v>
      </c>
      <c r="J151" s="43" t="s">
        <v>97</v>
      </c>
      <c r="K151" s="43" t="s">
        <v>57</v>
      </c>
      <c r="L151" s="43" t="s">
        <v>58</v>
      </c>
      <c r="M151" s="43" t="s">
        <v>86</v>
      </c>
      <c r="N151" s="43" t="s">
        <v>60</v>
      </c>
      <c r="O151" s="45"/>
      <c r="P151" s="43" t="s">
        <v>66</v>
      </c>
      <c r="Q151" s="43" t="s">
        <v>98</v>
      </c>
      <c r="R151" s="35" t="s">
        <v>88</v>
      </c>
      <c r="S151" s="35" t="s">
        <v>89</v>
      </c>
      <c r="T151" s="35" t="s">
        <v>90</v>
      </c>
    </row>
    <row r="152" spans="1:20" ht="43.5" x14ac:dyDescent="0.35">
      <c r="A152" s="43" t="s">
        <v>240</v>
      </c>
      <c r="B152" s="43" t="s">
        <v>280</v>
      </c>
      <c r="C152" s="43">
        <v>3</v>
      </c>
      <c r="D152" s="43" t="s">
        <v>99</v>
      </c>
      <c r="E152" s="43" t="s">
        <v>100</v>
      </c>
      <c r="F152" s="43" t="s">
        <v>283</v>
      </c>
      <c r="G152" s="43" t="s">
        <v>84</v>
      </c>
      <c r="H152" s="43" t="s">
        <v>102</v>
      </c>
      <c r="I152" s="43" t="s">
        <v>96</v>
      </c>
      <c r="J152" s="43" t="s">
        <v>84</v>
      </c>
      <c r="K152" s="43" t="s">
        <v>57</v>
      </c>
      <c r="L152" s="43" t="s">
        <v>58</v>
      </c>
      <c r="M152" s="43" t="s">
        <v>86</v>
      </c>
      <c r="N152" s="43" t="s">
        <v>60</v>
      </c>
      <c r="O152" s="45"/>
      <c r="P152" s="43" t="s">
        <v>66</v>
      </c>
      <c r="Q152" s="43" t="s">
        <v>103</v>
      </c>
      <c r="R152" s="35" t="s">
        <v>88</v>
      </c>
      <c r="S152" s="35" t="s">
        <v>89</v>
      </c>
      <c r="T152" s="35" t="s">
        <v>90</v>
      </c>
    </row>
    <row r="153" spans="1:20" ht="43.5" x14ac:dyDescent="0.35">
      <c r="A153" s="43" t="s">
        <v>240</v>
      </c>
      <c r="B153" s="43" t="s">
        <v>280</v>
      </c>
      <c r="C153" s="43">
        <v>4</v>
      </c>
      <c r="D153" s="43" t="s">
        <v>104</v>
      </c>
      <c r="E153" s="43" t="s">
        <v>105</v>
      </c>
      <c r="F153" s="43" t="s">
        <v>83</v>
      </c>
      <c r="G153" s="43" t="s">
        <v>84</v>
      </c>
      <c r="H153" s="43" t="s">
        <v>106</v>
      </c>
      <c r="I153" s="43" t="s">
        <v>107</v>
      </c>
      <c r="J153" s="43" t="s">
        <v>84</v>
      </c>
      <c r="K153" s="43" t="s">
        <v>57</v>
      </c>
      <c r="L153" s="43" t="s">
        <v>58</v>
      </c>
      <c r="M153" s="43" t="s">
        <v>86</v>
      </c>
      <c r="N153" s="43" t="s">
        <v>60</v>
      </c>
      <c r="O153" s="45"/>
      <c r="P153" s="43" t="s">
        <v>66</v>
      </c>
      <c r="Q153" s="43" t="s">
        <v>108</v>
      </c>
      <c r="R153" s="35" t="s">
        <v>88</v>
      </c>
      <c r="S153" s="35" t="s">
        <v>89</v>
      </c>
      <c r="T153" s="35" t="s">
        <v>90</v>
      </c>
    </row>
    <row r="154" spans="1:20" ht="43.5" x14ac:dyDescent="0.35">
      <c r="A154" s="46" t="s">
        <v>240</v>
      </c>
      <c r="B154" s="46" t="s">
        <v>280</v>
      </c>
      <c r="C154" s="46">
        <v>5</v>
      </c>
      <c r="D154" s="46" t="s">
        <v>109</v>
      </c>
      <c r="E154" s="46" t="s">
        <v>105</v>
      </c>
      <c r="F154" s="46" t="s">
        <v>110</v>
      </c>
      <c r="G154" s="46" t="s">
        <v>84</v>
      </c>
      <c r="H154" s="46" t="s">
        <v>111</v>
      </c>
      <c r="I154" s="46" t="s">
        <v>53</v>
      </c>
      <c r="J154" s="46" t="s">
        <v>84</v>
      </c>
      <c r="K154" s="46" t="s">
        <v>57</v>
      </c>
      <c r="L154" s="46" t="s">
        <v>58</v>
      </c>
      <c r="M154" s="46" t="s">
        <v>86</v>
      </c>
      <c r="N154" s="46" t="s">
        <v>60</v>
      </c>
      <c r="O154" s="47"/>
      <c r="P154" s="46" t="s">
        <v>66</v>
      </c>
      <c r="Q154" s="46" t="s">
        <v>112</v>
      </c>
      <c r="R154" s="35" t="s">
        <v>88</v>
      </c>
      <c r="S154" s="35" t="s">
        <v>89</v>
      </c>
      <c r="T154" s="35" t="s">
        <v>90</v>
      </c>
    </row>
    <row r="155" spans="1:20" ht="43.5" x14ac:dyDescent="0.35">
      <c r="A155" s="38" t="s">
        <v>40</v>
      </c>
      <c r="B155" s="39" t="s">
        <v>284</v>
      </c>
      <c r="C155" s="38">
        <v>1</v>
      </c>
      <c r="D155" s="38" t="s">
        <v>285</v>
      </c>
      <c r="E155" s="38" t="s">
        <v>47</v>
      </c>
      <c r="F155" s="38" t="s">
        <v>83</v>
      </c>
      <c r="G155" s="38" t="s">
        <v>84</v>
      </c>
      <c r="H155" s="38" t="s">
        <v>85</v>
      </c>
      <c r="I155" s="38" t="s">
        <v>53</v>
      </c>
      <c r="J155" s="38" t="s">
        <v>84</v>
      </c>
      <c r="K155" s="38" t="s">
        <v>57</v>
      </c>
      <c r="L155" s="38" t="s">
        <v>58</v>
      </c>
      <c r="M155" s="38" t="s">
        <v>86</v>
      </c>
      <c r="N155" s="38" t="s">
        <v>60</v>
      </c>
      <c r="O155" s="40"/>
      <c r="P155" s="38" t="s">
        <v>66</v>
      </c>
      <c r="Q155" s="38" t="s">
        <v>87</v>
      </c>
      <c r="R155" s="35" t="s">
        <v>88</v>
      </c>
      <c r="S155" s="35" t="s">
        <v>89</v>
      </c>
      <c r="T155" s="35" t="s">
        <v>90</v>
      </c>
    </row>
    <row r="156" spans="1:20" ht="43.5" x14ac:dyDescent="0.35">
      <c r="A156" s="38" t="s">
        <v>40</v>
      </c>
      <c r="B156" s="38" t="s">
        <v>284</v>
      </c>
      <c r="C156" s="38">
        <v>2</v>
      </c>
      <c r="D156" s="38" t="s">
        <v>236</v>
      </c>
      <c r="E156" s="38" t="s">
        <v>92</v>
      </c>
      <c r="F156" s="38" t="s">
        <v>286</v>
      </c>
      <c r="G156" s="38" t="s">
        <v>94</v>
      </c>
      <c r="H156" s="38" t="s">
        <v>95</v>
      </c>
      <c r="I156" s="38" t="s">
        <v>96</v>
      </c>
      <c r="J156" s="38" t="s">
        <v>97</v>
      </c>
      <c r="K156" s="38" t="s">
        <v>57</v>
      </c>
      <c r="L156" s="38" t="s">
        <v>58</v>
      </c>
      <c r="M156" s="38" t="s">
        <v>86</v>
      </c>
      <c r="N156" s="38" t="s">
        <v>60</v>
      </c>
      <c r="O156" s="40"/>
      <c r="P156" s="38" t="s">
        <v>66</v>
      </c>
      <c r="Q156" s="38" t="s">
        <v>98</v>
      </c>
      <c r="R156" s="35" t="s">
        <v>88</v>
      </c>
      <c r="S156" s="35" t="s">
        <v>89</v>
      </c>
      <c r="T156" s="35" t="s">
        <v>90</v>
      </c>
    </row>
    <row r="157" spans="1:20" ht="43.5" x14ac:dyDescent="0.35">
      <c r="A157" s="38" t="s">
        <v>40</v>
      </c>
      <c r="B157" s="38" t="s">
        <v>284</v>
      </c>
      <c r="C157" s="38">
        <v>3</v>
      </c>
      <c r="D157" s="38" t="s">
        <v>287</v>
      </c>
      <c r="E157" s="38" t="s">
        <v>100</v>
      </c>
      <c r="F157" s="38" t="s">
        <v>288</v>
      </c>
      <c r="G157" s="38" t="s">
        <v>84</v>
      </c>
      <c r="H157" s="38" t="s">
        <v>102</v>
      </c>
      <c r="I157" s="38" t="s">
        <v>96</v>
      </c>
      <c r="J157" s="38" t="s">
        <v>84</v>
      </c>
      <c r="K157" s="38" t="s">
        <v>57</v>
      </c>
      <c r="L157" s="38" t="s">
        <v>58</v>
      </c>
      <c r="M157" s="38" t="s">
        <v>86</v>
      </c>
      <c r="N157" s="38" t="s">
        <v>60</v>
      </c>
      <c r="O157" s="40"/>
      <c r="P157" s="38" t="s">
        <v>66</v>
      </c>
      <c r="Q157" s="38" t="s">
        <v>103</v>
      </c>
      <c r="R157" s="35" t="s">
        <v>88</v>
      </c>
      <c r="S157" s="35" t="s">
        <v>89</v>
      </c>
      <c r="T157" s="35" t="s">
        <v>90</v>
      </c>
    </row>
    <row r="158" spans="1:20" ht="43.5" x14ac:dyDescent="0.35">
      <c r="A158" s="38" t="s">
        <v>40</v>
      </c>
      <c r="B158" s="38" t="s">
        <v>284</v>
      </c>
      <c r="C158" s="38">
        <v>4</v>
      </c>
      <c r="D158" s="38" t="s">
        <v>104</v>
      </c>
      <c r="E158" s="38" t="s">
        <v>105</v>
      </c>
      <c r="F158" s="38" t="s">
        <v>83</v>
      </c>
      <c r="G158" s="38" t="s">
        <v>84</v>
      </c>
      <c r="H158" s="38" t="s">
        <v>106</v>
      </c>
      <c r="I158" s="38" t="s">
        <v>107</v>
      </c>
      <c r="J158" s="38" t="s">
        <v>84</v>
      </c>
      <c r="K158" s="38" t="s">
        <v>57</v>
      </c>
      <c r="L158" s="38" t="s">
        <v>58</v>
      </c>
      <c r="M158" s="38" t="s">
        <v>86</v>
      </c>
      <c r="N158" s="38" t="s">
        <v>60</v>
      </c>
      <c r="O158" s="40"/>
      <c r="P158" s="38" t="s">
        <v>66</v>
      </c>
      <c r="Q158" s="38" t="s">
        <v>108</v>
      </c>
      <c r="R158" s="35" t="s">
        <v>88</v>
      </c>
      <c r="S158" s="35" t="s">
        <v>89</v>
      </c>
      <c r="T158" s="35" t="s">
        <v>90</v>
      </c>
    </row>
    <row r="159" spans="1:20" ht="43.5" x14ac:dyDescent="0.35">
      <c r="A159" s="41" t="s">
        <v>40</v>
      </c>
      <c r="B159" s="41" t="s">
        <v>284</v>
      </c>
      <c r="C159" s="41">
        <v>5</v>
      </c>
      <c r="D159" s="41" t="s">
        <v>109</v>
      </c>
      <c r="E159" s="41" t="s">
        <v>105</v>
      </c>
      <c r="F159" s="41" t="s">
        <v>110</v>
      </c>
      <c r="G159" s="41" t="s">
        <v>84</v>
      </c>
      <c r="H159" s="41" t="s">
        <v>111</v>
      </c>
      <c r="I159" s="41" t="s">
        <v>53</v>
      </c>
      <c r="J159" s="41" t="s">
        <v>84</v>
      </c>
      <c r="K159" s="41" t="s">
        <v>57</v>
      </c>
      <c r="L159" s="41" t="s">
        <v>58</v>
      </c>
      <c r="M159" s="41" t="s">
        <v>86</v>
      </c>
      <c r="N159" s="41" t="s">
        <v>60</v>
      </c>
      <c r="O159" s="42"/>
      <c r="P159" s="41" t="s">
        <v>66</v>
      </c>
      <c r="Q159" s="41" t="s">
        <v>112</v>
      </c>
      <c r="R159" s="35" t="s">
        <v>88</v>
      </c>
      <c r="S159" s="35" t="s">
        <v>89</v>
      </c>
      <c r="T159" s="35" t="s">
        <v>90</v>
      </c>
    </row>
    <row r="160" spans="1:20" ht="43.5" x14ac:dyDescent="0.35">
      <c r="A160" s="43" t="s">
        <v>40</v>
      </c>
      <c r="B160" s="44" t="s">
        <v>289</v>
      </c>
      <c r="C160" s="43">
        <v>1</v>
      </c>
      <c r="D160" s="43" t="s">
        <v>290</v>
      </c>
      <c r="E160" s="43" t="s">
        <v>47</v>
      </c>
      <c r="F160" s="43" t="s">
        <v>83</v>
      </c>
      <c r="G160" s="43" t="s">
        <v>84</v>
      </c>
      <c r="H160" s="43" t="s">
        <v>85</v>
      </c>
      <c r="I160" s="43" t="s">
        <v>53</v>
      </c>
      <c r="J160" s="43" t="s">
        <v>84</v>
      </c>
      <c r="K160" s="43" t="s">
        <v>57</v>
      </c>
      <c r="L160" s="43" t="s">
        <v>58</v>
      </c>
      <c r="M160" s="43" t="s">
        <v>86</v>
      </c>
      <c r="N160" s="43" t="s">
        <v>60</v>
      </c>
      <c r="O160" s="45"/>
      <c r="P160" s="43" t="s">
        <v>66</v>
      </c>
      <c r="Q160" s="43" t="s">
        <v>87</v>
      </c>
      <c r="R160" s="35" t="s">
        <v>88</v>
      </c>
      <c r="S160" s="35" t="s">
        <v>89</v>
      </c>
      <c r="T160" s="35" t="s">
        <v>90</v>
      </c>
    </row>
    <row r="161" spans="1:20" ht="43.5" x14ac:dyDescent="0.35">
      <c r="A161" s="43" t="s">
        <v>40</v>
      </c>
      <c r="B161" s="43" t="s">
        <v>289</v>
      </c>
      <c r="C161" s="43">
        <v>2</v>
      </c>
      <c r="D161" s="43" t="s">
        <v>291</v>
      </c>
      <c r="E161" s="43" t="s">
        <v>92</v>
      </c>
      <c r="F161" s="43" t="s">
        <v>292</v>
      </c>
      <c r="G161" s="43" t="s">
        <v>94</v>
      </c>
      <c r="H161" s="43" t="s">
        <v>95</v>
      </c>
      <c r="I161" s="43" t="s">
        <v>96</v>
      </c>
      <c r="J161" s="43" t="s">
        <v>97</v>
      </c>
      <c r="K161" s="43" t="s">
        <v>57</v>
      </c>
      <c r="L161" s="43" t="s">
        <v>58</v>
      </c>
      <c r="M161" s="43" t="s">
        <v>86</v>
      </c>
      <c r="N161" s="43" t="s">
        <v>60</v>
      </c>
      <c r="O161" s="45"/>
      <c r="P161" s="43" t="s">
        <v>66</v>
      </c>
      <c r="Q161" s="43" t="s">
        <v>98</v>
      </c>
      <c r="R161" s="35" t="s">
        <v>88</v>
      </c>
      <c r="S161" s="35" t="s">
        <v>89</v>
      </c>
      <c r="T161" s="35" t="s">
        <v>90</v>
      </c>
    </row>
    <row r="162" spans="1:20" ht="43.5" x14ac:dyDescent="0.35">
      <c r="A162" s="43" t="s">
        <v>40</v>
      </c>
      <c r="B162" s="43" t="s">
        <v>289</v>
      </c>
      <c r="C162" s="43">
        <v>3</v>
      </c>
      <c r="D162" s="43" t="s">
        <v>293</v>
      </c>
      <c r="E162" s="43" t="s">
        <v>100</v>
      </c>
      <c r="F162" s="43" t="s">
        <v>294</v>
      </c>
      <c r="G162" s="43" t="s">
        <v>84</v>
      </c>
      <c r="H162" s="43" t="s">
        <v>102</v>
      </c>
      <c r="I162" s="43" t="s">
        <v>96</v>
      </c>
      <c r="J162" s="43" t="s">
        <v>84</v>
      </c>
      <c r="K162" s="43" t="s">
        <v>57</v>
      </c>
      <c r="L162" s="43" t="s">
        <v>58</v>
      </c>
      <c r="M162" s="43" t="s">
        <v>86</v>
      </c>
      <c r="N162" s="43" t="s">
        <v>60</v>
      </c>
      <c r="O162" s="45"/>
      <c r="P162" s="43" t="s">
        <v>66</v>
      </c>
      <c r="Q162" s="43" t="s">
        <v>103</v>
      </c>
      <c r="R162" s="35" t="s">
        <v>88</v>
      </c>
      <c r="S162" s="35" t="s">
        <v>89</v>
      </c>
      <c r="T162" s="35" t="s">
        <v>90</v>
      </c>
    </row>
    <row r="163" spans="1:20" ht="43.5" x14ac:dyDescent="0.35">
      <c r="A163" s="43" t="s">
        <v>40</v>
      </c>
      <c r="B163" s="43" t="s">
        <v>289</v>
      </c>
      <c r="C163" s="43">
        <v>4</v>
      </c>
      <c r="D163" s="43" t="s">
        <v>104</v>
      </c>
      <c r="E163" s="43" t="s">
        <v>105</v>
      </c>
      <c r="F163" s="43" t="s">
        <v>83</v>
      </c>
      <c r="G163" s="43" t="s">
        <v>84</v>
      </c>
      <c r="H163" s="43" t="s">
        <v>106</v>
      </c>
      <c r="I163" s="43" t="s">
        <v>107</v>
      </c>
      <c r="J163" s="43" t="s">
        <v>84</v>
      </c>
      <c r="K163" s="43" t="s">
        <v>57</v>
      </c>
      <c r="L163" s="43" t="s">
        <v>58</v>
      </c>
      <c r="M163" s="43" t="s">
        <v>86</v>
      </c>
      <c r="N163" s="43" t="s">
        <v>60</v>
      </c>
      <c r="O163" s="45"/>
      <c r="P163" s="43" t="s">
        <v>66</v>
      </c>
      <c r="Q163" s="43" t="s">
        <v>108</v>
      </c>
      <c r="R163" s="35" t="s">
        <v>88</v>
      </c>
      <c r="S163" s="35" t="s">
        <v>89</v>
      </c>
      <c r="T163" s="35" t="s">
        <v>90</v>
      </c>
    </row>
    <row r="164" spans="1:20" ht="43.5" x14ac:dyDescent="0.35">
      <c r="A164" s="46" t="s">
        <v>40</v>
      </c>
      <c r="B164" s="46" t="s">
        <v>289</v>
      </c>
      <c r="C164" s="46">
        <v>5</v>
      </c>
      <c r="D164" s="46" t="s">
        <v>109</v>
      </c>
      <c r="E164" s="46" t="s">
        <v>105</v>
      </c>
      <c r="F164" s="46" t="s">
        <v>110</v>
      </c>
      <c r="G164" s="46" t="s">
        <v>84</v>
      </c>
      <c r="H164" s="46" t="s">
        <v>111</v>
      </c>
      <c r="I164" s="46" t="s">
        <v>53</v>
      </c>
      <c r="J164" s="46" t="s">
        <v>84</v>
      </c>
      <c r="K164" s="46" t="s">
        <v>57</v>
      </c>
      <c r="L164" s="46" t="s">
        <v>58</v>
      </c>
      <c r="M164" s="46" t="s">
        <v>86</v>
      </c>
      <c r="N164" s="46" t="s">
        <v>60</v>
      </c>
      <c r="O164" s="47"/>
      <c r="P164" s="46" t="s">
        <v>66</v>
      </c>
      <c r="Q164" s="46" t="s">
        <v>112</v>
      </c>
      <c r="R164" s="35" t="s">
        <v>88</v>
      </c>
      <c r="S164" s="35" t="s">
        <v>89</v>
      </c>
      <c r="T164" s="35" t="s">
        <v>90</v>
      </c>
    </row>
    <row r="165" spans="1:20" ht="43.5" x14ac:dyDescent="0.35">
      <c r="A165" s="38" t="s">
        <v>40</v>
      </c>
      <c r="B165" s="39" t="s">
        <v>295</v>
      </c>
      <c r="C165" s="38">
        <v>1</v>
      </c>
      <c r="D165" s="38" t="s">
        <v>296</v>
      </c>
      <c r="E165" s="38" t="s">
        <v>47</v>
      </c>
      <c r="F165" s="38" t="s">
        <v>83</v>
      </c>
      <c r="G165" s="38" t="s">
        <v>84</v>
      </c>
      <c r="H165" s="38" t="s">
        <v>85</v>
      </c>
      <c r="I165" s="38" t="s">
        <v>53</v>
      </c>
      <c r="J165" s="38" t="s">
        <v>84</v>
      </c>
      <c r="K165" s="38" t="s">
        <v>57</v>
      </c>
      <c r="L165" s="38" t="s">
        <v>58</v>
      </c>
      <c r="M165" s="38" t="s">
        <v>86</v>
      </c>
      <c r="N165" s="38" t="s">
        <v>60</v>
      </c>
      <c r="O165" s="40"/>
      <c r="P165" s="38" t="s">
        <v>66</v>
      </c>
      <c r="Q165" s="38" t="s">
        <v>87</v>
      </c>
      <c r="R165" s="35" t="s">
        <v>88</v>
      </c>
      <c r="S165" s="35" t="s">
        <v>89</v>
      </c>
      <c r="T165" s="35" t="s">
        <v>90</v>
      </c>
    </row>
    <row r="166" spans="1:20" ht="43.5" x14ac:dyDescent="0.35">
      <c r="A166" s="38" t="s">
        <v>40</v>
      </c>
      <c r="B166" s="38" t="s">
        <v>295</v>
      </c>
      <c r="C166" s="38">
        <v>2</v>
      </c>
      <c r="D166" s="38" t="s">
        <v>297</v>
      </c>
      <c r="E166" s="38" t="s">
        <v>92</v>
      </c>
      <c r="F166" s="38" t="s">
        <v>298</v>
      </c>
      <c r="G166" s="38" t="s">
        <v>94</v>
      </c>
      <c r="H166" s="38" t="s">
        <v>95</v>
      </c>
      <c r="I166" s="38" t="s">
        <v>96</v>
      </c>
      <c r="J166" s="38" t="s">
        <v>97</v>
      </c>
      <c r="K166" s="38" t="s">
        <v>57</v>
      </c>
      <c r="L166" s="38" t="s">
        <v>58</v>
      </c>
      <c r="M166" s="38" t="s">
        <v>86</v>
      </c>
      <c r="N166" s="38" t="s">
        <v>60</v>
      </c>
      <c r="O166" s="40"/>
      <c r="P166" s="38" t="s">
        <v>66</v>
      </c>
      <c r="Q166" s="38" t="s">
        <v>98</v>
      </c>
      <c r="R166" s="35" t="s">
        <v>88</v>
      </c>
      <c r="S166" s="35" t="s">
        <v>89</v>
      </c>
      <c r="T166" s="35" t="s">
        <v>90</v>
      </c>
    </row>
    <row r="167" spans="1:20" ht="43.5" x14ac:dyDescent="0.35">
      <c r="A167" s="38" t="s">
        <v>40</v>
      </c>
      <c r="B167" s="38" t="s">
        <v>295</v>
      </c>
      <c r="C167" s="38">
        <v>3</v>
      </c>
      <c r="D167" s="38" t="s">
        <v>129</v>
      </c>
      <c r="E167" s="38" t="s">
        <v>100</v>
      </c>
      <c r="F167" s="38" t="s">
        <v>299</v>
      </c>
      <c r="G167" s="38" t="s">
        <v>84</v>
      </c>
      <c r="H167" s="38" t="s">
        <v>102</v>
      </c>
      <c r="I167" s="38" t="s">
        <v>96</v>
      </c>
      <c r="J167" s="38" t="s">
        <v>84</v>
      </c>
      <c r="K167" s="38" t="s">
        <v>57</v>
      </c>
      <c r="L167" s="38" t="s">
        <v>58</v>
      </c>
      <c r="M167" s="38" t="s">
        <v>86</v>
      </c>
      <c r="N167" s="38" t="s">
        <v>60</v>
      </c>
      <c r="O167" s="40"/>
      <c r="P167" s="38" t="s">
        <v>66</v>
      </c>
      <c r="Q167" s="38" t="s">
        <v>103</v>
      </c>
      <c r="R167" s="35" t="s">
        <v>88</v>
      </c>
      <c r="S167" s="35" t="s">
        <v>89</v>
      </c>
      <c r="T167" s="35" t="s">
        <v>90</v>
      </c>
    </row>
    <row r="168" spans="1:20" ht="43.5" x14ac:dyDescent="0.35">
      <c r="A168" s="38" t="s">
        <v>40</v>
      </c>
      <c r="B168" s="38" t="s">
        <v>295</v>
      </c>
      <c r="C168" s="38">
        <v>4</v>
      </c>
      <c r="D168" s="38" t="s">
        <v>104</v>
      </c>
      <c r="E168" s="38" t="s">
        <v>105</v>
      </c>
      <c r="F168" s="38" t="s">
        <v>83</v>
      </c>
      <c r="G168" s="38" t="s">
        <v>84</v>
      </c>
      <c r="H168" s="38" t="s">
        <v>106</v>
      </c>
      <c r="I168" s="38" t="s">
        <v>107</v>
      </c>
      <c r="J168" s="38" t="s">
        <v>84</v>
      </c>
      <c r="K168" s="38" t="s">
        <v>57</v>
      </c>
      <c r="L168" s="38" t="s">
        <v>58</v>
      </c>
      <c r="M168" s="38" t="s">
        <v>86</v>
      </c>
      <c r="N168" s="38" t="s">
        <v>60</v>
      </c>
      <c r="O168" s="40"/>
      <c r="P168" s="38" t="s">
        <v>66</v>
      </c>
      <c r="Q168" s="38" t="s">
        <v>108</v>
      </c>
      <c r="R168" s="35" t="s">
        <v>88</v>
      </c>
      <c r="S168" s="35" t="s">
        <v>89</v>
      </c>
      <c r="T168" s="35" t="s">
        <v>90</v>
      </c>
    </row>
    <row r="169" spans="1:20" ht="43.5" x14ac:dyDescent="0.35">
      <c r="A169" s="41" t="s">
        <v>40</v>
      </c>
      <c r="B169" s="41" t="s">
        <v>295</v>
      </c>
      <c r="C169" s="41">
        <v>5</v>
      </c>
      <c r="D169" s="41" t="s">
        <v>109</v>
      </c>
      <c r="E169" s="41" t="s">
        <v>105</v>
      </c>
      <c r="F169" s="41" t="s">
        <v>110</v>
      </c>
      <c r="G169" s="41" t="s">
        <v>84</v>
      </c>
      <c r="H169" s="41" t="s">
        <v>111</v>
      </c>
      <c r="I169" s="41" t="s">
        <v>53</v>
      </c>
      <c r="J169" s="41" t="s">
        <v>84</v>
      </c>
      <c r="K169" s="41" t="s">
        <v>57</v>
      </c>
      <c r="L169" s="41" t="s">
        <v>58</v>
      </c>
      <c r="M169" s="41" t="s">
        <v>86</v>
      </c>
      <c r="N169" s="41" t="s">
        <v>60</v>
      </c>
      <c r="O169" s="42"/>
      <c r="P169" s="41" t="s">
        <v>66</v>
      </c>
      <c r="Q169" s="41" t="s">
        <v>112</v>
      </c>
      <c r="R169" s="35" t="s">
        <v>88</v>
      </c>
      <c r="S169" s="35" t="s">
        <v>89</v>
      </c>
      <c r="T169" s="35" t="s">
        <v>90</v>
      </c>
    </row>
    <row r="170" spans="1:20" ht="43.5" x14ac:dyDescent="0.35">
      <c r="A170" s="43" t="s">
        <v>40</v>
      </c>
      <c r="B170" s="44" t="s">
        <v>300</v>
      </c>
      <c r="C170" s="43">
        <v>1</v>
      </c>
      <c r="D170" s="43" t="s">
        <v>301</v>
      </c>
      <c r="E170" s="43" t="s">
        <v>47</v>
      </c>
      <c r="F170" s="43" t="s">
        <v>83</v>
      </c>
      <c r="G170" s="43" t="s">
        <v>84</v>
      </c>
      <c r="H170" s="43" t="s">
        <v>85</v>
      </c>
      <c r="I170" s="43" t="s">
        <v>53</v>
      </c>
      <c r="J170" s="43" t="s">
        <v>84</v>
      </c>
      <c r="K170" s="43" t="s">
        <v>57</v>
      </c>
      <c r="L170" s="43" t="s">
        <v>58</v>
      </c>
      <c r="M170" s="43" t="s">
        <v>86</v>
      </c>
      <c r="N170" s="43" t="s">
        <v>60</v>
      </c>
      <c r="O170" s="45"/>
      <c r="P170" s="43" t="s">
        <v>66</v>
      </c>
      <c r="Q170" s="43" t="s">
        <v>87</v>
      </c>
      <c r="R170" s="35" t="s">
        <v>88</v>
      </c>
      <c r="S170" s="35" t="s">
        <v>89</v>
      </c>
      <c r="T170" s="35" t="s">
        <v>90</v>
      </c>
    </row>
    <row r="171" spans="1:20" ht="43.5" x14ac:dyDescent="0.35">
      <c r="A171" s="43" t="s">
        <v>40</v>
      </c>
      <c r="B171" s="43" t="s">
        <v>300</v>
      </c>
      <c r="C171" s="43">
        <v>2</v>
      </c>
      <c r="D171" s="43" t="s">
        <v>302</v>
      </c>
      <c r="E171" s="43" t="s">
        <v>92</v>
      </c>
      <c r="F171" s="43" t="s">
        <v>303</v>
      </c>
      <c r="G171" s="43" t="s">
        <v>94</v>
      </c>
      <c r="H171" s="43" t="s">
        <v>95</v>
      </c>
      <c r="I171" s="43" t="s">
        <v>96</v>
      </c>
      <c r="J171" s="43" t="s">
        <v>97</v>
      </c>
      <c r="K171" s="43" t="s">
        <v>57</v>
      </c>
      <c r="L171" s="43" t="s">
        <v>58</v>
      </c>
      <c r="M171" s="43" t="s">
        <v>86</v>
      </c>
      <c r="N171" s="43" t="s">
        <v>60</v>
      </c>
      <c r="O171" s="45"/>
      <c r="P171" s="43" t="s">
        <v>66</v>
      </c>
      <c r="Q171" s="43" t="s">
        <v>98</v>
      </c>
      <c r="R171" s="35" t="s">
        <v>88</v>
      </c>
      <c r="S171" s="35" t="s">
        <v>89</v>
      </c>
      <c r="T171" s="35" t="s">
        <v>90</v>
      </c>
    </row>
    <row r="172" spans="1:20" ht="43.5" x14ac:dyDescent="0.35">
      <c r="A172" s="43" t="s">
        <v>40</v>
      </c>
      <c r="B172" s="43" t="s">
        <v>300</v>
      </c>
      <c r="C172" s="43">
        <v>3</v>
      </c>
      <c r="D172" s="43" t="s">
        <v>129</v>
      </c>
      <c r="E172" s="43" t="s">
        <v>100</v>
      </c>
      <c r="F172" s="43" t="s">
        <v>304</v>
      </c>
      <c r="G172" s="43" t="s">
        <v>84</v>
      </c>
      <c r="H172" s="43" t="s">
        <v>102</v>
      </c>
      <c r="I172" s="43" t="s">
        <v>96</v>
      </c>
      <c r="J172" s="43" t="s">
        <v>84</v>
      </c>
      <c r="K172" s="43" t="s">
        <v>57</v>
      </c>
      <c r="L172" s="43" t="s">
        <v>58</v>
      </c>
      <c r="M172" s="43" t="s">
        <v>86</v>
      </c>
      <c r="N172" s="43" t="s">
        <v>60</v>
      </c>
      <c r="O172" s="45"/>
      <c r="P172" s="43" t="s">
        <v>66</v>
      </c>
      <c r="Q172" s="43" t="s">
        <v>103</v>
      </c>
      <c r="R172" s="35" t="s">
        <v>88</v>
      </c>
      <c r="S172" s="35" t="s">
        <v>89</v>
      </c>
      <c r="T172" s="35" t="s">
        <v>90</v>
      </c>
    </row>
    <row r="173" spans="1:20" ht="43.5" x14ac:dyDescent="0.35">
      <c r="A173" s="43" t="s">
        <v>40</v>
      </c>
      <c r="B173" s="43" t="s">
        <v>300</v>
      </c>
      <c r="C173" s="43">
        <v>4</v>
      </c>
      <c r="D173" s="43" t="s">
        <v>104</v>
      </c>
      <c r="E173" s="43" t="s">
        <v>105</v>
      </c>
      <c r="F173" s="43" t="s">
        <v>83</v>
      </c>
      <c r="G173" s="43" t="s">
        <v>84</v>
      </c>
      <c r="H173" s="43" t="s">
        <v>106</v>
      </c>
      <c r="I173" s="43" t="s">
        <v>107</v>
      </c>
      <c r="J173" s="43" t="s">
        <v>84</v>
      </c>
      <c r="K173" s="43" t="s">
        <v>57</v>
      </c>
      <c r="L173" s="43" t="s">
        <v>58</v>
      </c>
      <c r="M173" s="43" t="s">
        <v>86</v>
      </c>
      <c r="N173" s="43" t="s">
        <v>60</v>
      </c>
      <c r="O173" s="45"/>
      <c r="P173" s="43" t="s">
        <v>66</v>
      </c>
      <c r="Q173" s="43" t="s">
        <v>108</v>
      </c>
      <c r="R173" s="35" t="s">
        <v>88</v>
      </c>
      <c r="S173" s="35" t="s">
        <v>89</v>
      </c>
      <c r="T173" s="35" t="s">
        <v>90</v>
      </c>
    </row>
    <row r="174" spans="1:20" ht="43.5" x14ac:dyDescent="0.35">
      <c r="A174" s="46" t="s">
        <v>40</v>
      </c>
      <c r="B174" s="46" t="s">
        <v>300</v>
      </c>
      <c r="C174" s="46">
        <v>5</v>
      </c>
      <c r="D174" s="46" t="s">
        <v>109</v>
      </c>
      <c r="E174" s="46" t="s">
        <v>105</v>
      </c>
      <c r="F174" s="46" t="s">
        <v>110</v>
      </c>
      <c r="G174" s="46" t="s">
        <v>84</v>
      </c>
      <c r="H174" s="46" t="s">
        <v>111</v>
      </c>
      <c r="I174" s="46" t="s">
        <v>53</v>
      </c>
      <c r="J174" s="46" t="s">
        <v>84</v>
      </c>
      <c r="K174" s="46" t="s">
        <v>57</v>
      </c>
      <c r="L174" s="46" t="s">
        <v>58</v>
      </c>
      <c r="M174" s="46" t="s">
        <v>86</v>
      </c>
      <c r="N174" s="46" t="s">
        <v>60</v>
      </c>
      <c r="O174" s="47"/>
      <c r="P174" s="46" t="s">
        <v>66</v>
      </c>
      <c r="Q174" s="46" t="s">
        <v>112</v>
      </c>
      <c r="R174" s="35" t="s">
        <v>88</v>
      </c>
      <c r="S174" s="35" t="s">
        <v>89</v>
      </c>
      <c r="T174" s="35" t="s">
        <v>90</v>
      </c>
    </row>
    <row r="175" spans="1:20" ht="43.5" x14ac:dyDescent="0.35">
      <c r="A175" s="38" t="s">
        <v>40</v>
      </c>
      <c r="B175" s="39" t="s">
        <v>42</v>
      </c>
      <c r="C175" s="38">
        <v>1</v>
      </c>
      <c r="D175" s="38" t="s">
        <v>305</v>
      </c>
      <c r="E175" s="38" t="s">
        <v>47</v>
      </c>
      <c r="F175" s="38" t="s">
        <v>48</v>
      </c>
      <c r="G175" s="38" t="s">
        <v>49</v>
      </c>
      <c r="H175" s="38" t="s">
        <v>51</v>
      </c>
      <c r="I175" s="38" t="s">
        <v>53</v>
      </c>
      <c r="J175" s="38" t="s">
        <v>55</v>
      </c>
      <c r="K175" s="38" t="s">
        <v>57</v>
      </c>
      <c r="L175" s="38" t="s">
        <v>58</v>
      </c>
      <c r="M175" s="38" t="s">
        <v>86</v>
      </c>
      <c r="N175" s="38" t="s">
        <v>60</v>
      </c>
      <c r="O175" s="40"/>
      <c r="P175" s="38" t="s">
        <v>66</v>
      </c>
      <c r="Q175" s="38" t="s">
        <v>306</v>
      </c>
      <c r="R175" s="35" t="s">
        <v>88</v>
      </c>
      <c r="S175" s="35" t="s">
        <v>89</v>
      </c>
      <c r="T175" s="35" t="s">
        <v>90</v>
      </c>
    </row>
    <row r="176" spans="1:20" ht="43.5" x14ac:dyDescent="0.35">
      <c r="A176" s="38" t="s">
        <v>40</v>
      </c>
      <c r="B176" s="38" t="s">
        <v>42</v>
      </c>
      <c r="C176" s="38">
        <v>2</v>
      </c>
      <c r="D176" s="38" t="s">
        <v>307</v>
      </c>
      <c r="E176" s="38" t="s">
        <v>308</v>
      </c>
      <c r="F176" s="38" t="s">
        <v>309</v>
      </c>
      <c r="G176" s="38" t="s">
        <v>84</v>
      </c>
      <c r="H176" s="38" t="s">
        <v>310</v>
      </c>
      <c r="I176" s="38" t="s">
        <v>53</v>
      </c>
      <c r="J176" s="38" t="s">
        <v>311</v>
      </c>
      <c r="K176" s="38" t="s">
        <v>57</v>
      </c>
      <c r="L176" s="38" t="s">
        <v>58</v>
      </c>
      <c r="M176" s="38" t="s">
        <v>86</v>
      </c>
      <c r="N176" s="38" t="s">
        <v>60</v>
      </c>
      <c r="O176" s="40"/>
      <c r="P176" s="38" t="s">
        <v>66</v>
      </c>
      <c r="Q176" s="38" t="s">
        <v>312</v>
      </c>
      <c r="R176" s="35" t="s">
        <v>88</v>
      </c>
      <c r="S176" s="35" t="s">
        <v>89</v>
      </c>
      <c r="T176" s="35" t="s">
        <v>90</v>
      </c>
    </row>
    <row r="177" spans="1:20" ht="43.5" x14ac:dyDescent="0.35">
      <c r="A177" s="38" t="s">
        <v>40</v>
      </c>
      <c r="B177" s="38" t="s">
        <v>42</v>
      </c>
      <c r="C177" s="38">
        <v>3</v>
      </c>
      <c r="D177" s="38" t="s">
        <v>313</v>
      </c>
      <c r="E177" s="38" t="s">
        <v>92</v>
      </c>
      <c r="F177" s="38" t="s">
        <v>314</v>
      </c>
      <c r="G177" s="38" t="s">
        <v>94</v>
      </c>
      <c r="H177" s="38" t="s">
        <v>315</v>
      </c>
      <c r="I177" s="38" t="s">
        <v>96</v>
      </c>
      <c r="J177" s="38" t="s">
        <v>97</v>
      </c>
      <c r="K177" s="38" t="s">
        <v>57</v>
      </c>
      <c r="L177" s="38" t="s">
        <v>58</v>
      </c>
      <c r="M177" s="38" t="s">
        <v>86</v>
      </c>
      <c r="N177" s="38" t="s">
        <v>60</v>
      </c>
      <c r="O177" s="40"/>
      <c r="P177" s="38" t="s">
        <v>66</v>
      </c>
      <c r="Q177" s="38" t="s">
        <v>316</v>
      </c>
      <c r="R177" s="35" t="s">
        <v>88</v>
      </c>
      <c r="S177" s="35" t="s">
        <v>89</v>
      </c>
      <c r="T177" s="35" t="s">
        <v>90</v>
      </c>
    </row>
    <row r="178" spans="1:20" ht="43.5" x14ac:dyDescent="0.35">
      <c r="A178" s="38" t="s">
        <v>40</v>
      </c>
      <c r="B178" s="38" t="s">
        <v>42</v>
      </c>
      <c r="C178" s="38">
        <v>4</v>
      </c>
      <c r="D178" s="38" t="s">
        <v>317</v>
      </c>
      <c r="E178" s="38" t="s">
        <v>100</v>
      </c>
      <c r="F178" s="38" t="s">
        <v>318</v>
      </c>
      <c r="G178" s="38" t="s">
        <v>84</v>
      </c>
      <c r="H178" s="38" t="s">
        <v>319</v>
      </c>
      <c r="I178" s="38" t="s">
        <v>96</v>
      </c>
      <c r="J178" s="38" t="s">
        <v>84</v>
      </c>
      <c r="K178" s="38" t="s">
        <v>57</v>
      </c>
      <c r="L178" s="38" t="s">
        <v>58</v>
      </c>
      <c r="M178" s="38" t="s">
        <v>86</v>
      </c>
      <c r="N178" s="38" t="s">
        <v>60</v>
      </c>
      <c r="O178" s="40"/>
      <c r="P178" s="38" t="s">
        <v>66</v>
      </c>
      <c r="Q178" s="38" t="s">
        <v>320</v>
      </c>
      <c r="R178" s="35" t="s">
        <v>88</v>
      </c>
      <c r="S178" s="35" t="s">
        <v>89</v>
      </c>
      <c r="T178" s="35" t="s">
        <v>90</v>
      </c>
    </row>
    <row r="179" spans="1:20" ht="43.5" x14ac:dyDescent="0.35">
      <c r="A179" s="41" t="s">
        <v>40</v>
      </c>
      <c r="B179" s="41" t="s">
        <v>42</v>
      </c>
      <c r="C179" s="41">
        <v>5</v>
      </c>
      <c r="D179" s="41" t="s">
        <v>109</v>
      </c>
      <c r="E179" s="41" t="s">
        <v>105</v>
      </c>
      <c r="F179" s="41" t="s">
        <v>110</v>
      </c>
      <c r="G179" s="41" t="s">
        <v>84</v>
      </c>
      <c r="H179" s="41" t="s">
        <v>321</v>
      </c>
      <c r="I179" s="41" t="s">
        <v>53</v>
      </c>
      <c r="J179" s="41" t="s">
        <v>84</v>
      </c>
      <c r="K179" s="41" t="s">
        <v>57</v>
      </c>
      <c r="L179" s="41" t="s">
        <v>58</v>
      </c>
      <c r="M179" s="41" t="s">
        <v>86</v>
      </c>
      <c r="N179" s="41" t="s">
        <v>60</v>
      </c>
      <c r="O179" s="42"/>
      <c r="P179" s="41" t="s">
        <v>66</v>
      </c>
      <c r="Q179" s="41" t="s">
        <v>322</v>
      </c>
      <c r="R179" s="35" t="s">
        <v>88</v>
      </c>
      <c r="S179" s="35" t="s">
        <v>89</v>
      </c>
      <c r="T179" s="35" t="s">
        <v>90</v>
      </c>
    </row>
    <row r="180" spans="1:20" ht="43.5" x14ac:dyDescent="0.35">
      <c r="A180" s="43" t="s">
        <v>40</v>
      </c>
      <c r="B180" s="44" t="s">
        <v>323</v>
      </c>
      <c r="C180" s="43">
        <v>1</v>
      </c>
      <c r="D180" s="43" t="s">
        <v>324</v>
      </c>
      <c r="E180" s="43" t="s">
        <v>47</v>
      </c>
      <c r="F180" s="43" t="s">
        <v>83</v>
      </c>
      <c r="G180" s="43" t="s">
        <v>84</v>
      </c>
      <c r="H180" s="43" t="s">
        <v>85</v>
      </c>
      <c r="I180" s="43" t="s">
        <v>53</v>
      </c>
      <c r="J180" s="43" t="s">
        <v>84</v>
      </c>
      <c r="K180" s="43" t="s">
        <v>57</v>
      </c>
      <c r="L180" s="43" t="s">
        <v>58</v>
      </c>
      <c r="M180" s="43" t="s">
        <v>86</v>
      </c>
      <c r="N180" s="43" t="s">
        <v>60</v>
      </c>
      <c r="O180" s="45"/>
      <c r="P180" s="43" t="s">
        <v>66</v>
      </c>
      <c r="Q180" s="43" t="s">
        <v>87</v>
      </c>
      <c r="R180" s="35" t="s">
        <v>88</v>
      </c>
      <c r="S180" s="35" t="s">
        <v>89</v>
      </c>
      <c r="T180" s="35" t="s">
        <v>90</v>
      </c>
    </row>
    <row r="181" spans="1:20" ht="43.5" x14ac:dyDescent="0.35">
      <c r="A181" s="43" t="s">
        <v>40</v>
      </c>
      <c r="B181" s="43" t="s">
        <v>323</v>
      </c>
      <c r="C181" s="43">
        <v>2</v>
      </c>
      <c r="D181" s="43" t="s">
        <v>194</v>
      </c>
      <c r="E181" s="43" t="s">
        <v>92</v>
      </c>
      <c r="F181" s="43" t="s">
        <v>325</v>
      </c>
      <c r="G181" s="43" t="s">
        <v>94</v>
      </c>
      <c r="H181" s="43" t="s">
        <v>95</v>
      </c>
      <c r="I181" s="43" t="s">
        <v>96</v>
      </c>
      <c r="J181" s="43" t="s">
        <v>97</v>
      </c>
      <c r="K181" s="43" t="s">
        <v>57</v>
      </c>
      <c r="L181" s="43" t="s">
        <v>58</v>
      </c>
      <c r="M181" s="43" t="s">
        <v>86</v>
      </c>
      <c r="N181" s="43" t="s">
        <v>60</v>
      </c>
      <c r="O181" s="45"/>
      <c r="P181" s="43" t="s">
        <v>66</v>
      </c>
      <c r="Q181" s="43" t="s">
        <v>98</v>
      </c>
      <c r="R181" s="35" t="s">
        <v>88</v>
      </c>
      <c r="S181" s="35" t="s">
        <v>89</v>
      </c>
      <c r="T181" s="35" t="s">
        <v>90</v>
      </c>
    </row>
    <row r="182" spans="1:20" ht="43.5" x14ac:dyDescent="0.35">
      <c r="A182" s="43" t="s">
        <v>40</v>
      </c>
      <c r="B182" s="43" t="s">
        <v>323</v>
      </c>
      <c r="C182" s="43">
        <v>3</v>
      </c>
      <c r="D182" s="43" t="s">
        <v>123</v>
      </c>
      <c r="E182" s="43" t="s">
        <v>100</v>
      </c>
      <c r="F182" s="43" t="s">
        <v>326</v>
      </c>
      <c r="G182" s="43" t="s">
        <v>84</v>
      </c>
      <c r="H182" s="43" t="s">
        <v>102</v>
      </c>
      <c r="I182" s="43" t="s">
        <v>96</v>
      </c>
      <c r="J182" s="43" t="s">
        <v>84</v>
      </c>
      <c r="K182" s="43" t="s">
        <v>57</v>
      </c>
      <c r="L182" s="43" t="s">
        <v>58</v>
      </c>
      <c r="M182" s="43" t="s">
        <v>86</v>
      </c>
      <c r="N182" s="43" t="s">
        <v>60</v>
      </c>
      <c r="O182" s="45"/>
      <c r="P182" s="43" t="s">
        <v>66</v>
      </c>
      <c r="Q182" s="43" t="s">
        <v>103</v>
      </c>
      <c r="R182" s="35" t="s">
        <v>88</v>
      </c>
      <c r="S182" s="35" t="s">
        <v>89</v>
      </c>
      <c r="T182" s="35" t="s">
        <v>90</v>
      </c>
    </row>
    <row r="183" spans="1:20" ht="43.5" x14ac:dyDescent="0.35">
      <c r="A183" s="43" t="s">
        <v>40</v>
      </c>
      <c r="B183" s="43" t="s">
        <v>323</v>
      </c>
      <c r="C183" s="43">
        <v>4</v>
      </c>
      <c r="D183" s="43" t="s">
        <v>104</v>
      </c>
      <c r="E183" s="43" t="s">
        <v>105</v>
      </c>
      <c r="F183" s="43" t="s">
        <v>83</v>
      </c>
      <c r="G183" s="43" t="s">
        <v>84</v>
      </c>
      <c r="H183" s="43" t="s">
        <v>106</v>
      </c>
      <c r="I183" s="43" t="s">
        <v>107</v>
      </c>
      <c r="J183" s="43" t="s">
        <v>84</v>
      </c>
      <c r="K183" s="43" t="s">
        <v>57</v>
      </c>
      <c r="L183" s="43" t="s">
        <v>58</v>
      </c>
      <c r="M183" s="43" t="s">
        <v>86</v>
      </c>
      <c r="N183" s="43" t="s">
        <v>60</v>
      </c>
      <c r="O183" s="45"/>
      <c r="P183" s="43" t="s">
        <v>66</v>
      </c>
      <c r="Q183" s="43" t="s">
        <v>108</v>
      </c>
      <c r="R183" s="35" t="s">
        <v>88</v>
      </c>
      <c r="S183" s="35" t="s">
        <v>89</v>
      </c>
      <c r="T183" s="35" t="s">
        <v>90</v>
      </c>
    </row>
    <row r="184" spans="1:20" ht="43.5" x14ac:dyDescent="0.35">
      <c r="A184" s="46" t="s">
        <v>40</v>
      </c>
      <c r="B184" s="46" t="s">
        <v>323</v>
      </c>
      <c r="C184" s="46">
        <v>5</v>
      </c>
      <c r="D184" s="46" t="s">
        <v>109</v>
      </c>
      <c r="E184" s="46" t="s">
        <v>105</v>
      </c>
      <c r="F184" s="46" t="s">
        <v>110</v>
      </c>
      <c r="G184" s="46" t="s">
        <v>84</v>
      </c>
      <c r="H184" s="46" t="s">
        <v>111</v>
      </c>
      <c r="I184" s="46" t="s">
        <v>53</v>
      </c>
      <c r="J184" s="46" t="s">
        <v>84</v>
      </c>
      <c r="K184" s="46" t="s">
        <v>57</v>
      </c>
      <c r="L184" s="46" t="s">
        <v>58</v>
      </c>
      <c r="M184" s="46" t="s">
        <v>86</v>
      </c>
      <c r="N184" s="46" t="s">
        <v>60</v>
      </c>
      <c r="O184" s="47"/>
      <c r="P184" s="46" t="s">
        <v>66</v>
      </c>
      <c r="Q184" s="46" t="s">
        <v>112</v>
      </c>
      <c r="R184" s="35" t="s">
        <v>88</v>
      </c>
      <c r="S184" s="35" t="s">
        <v>89</v>
      </c>
      <c r="T184" s="35" t="s">
        <v>90</v>
      </c>
    </row>
    <row r="185" spans="1:20" ht="43.5" x14ac:dyDescent="0.35">
      <c r="A185" s="38" t="s">
        <v>40</v>
      </c>
      <c r="B185" s="39" t="s">
        <v>327</v>
      </c>
      <c r="C185" s="38">
        <v>1</v>
      </c>
      <c r="D185" s="38" t="s">
        <v>328</v>
      </c>
      <c r="E185" s="38" t="s">
        <v>47</v>
      </c>
      <c r="F185" s="38" t="s">
        <v>83</v>
      </c>
      <c r="G185" s="38" t="s">
        <v>84</v>
      </c>
      <c r="H185" s="38" t="s">
        <v>85</v>
      </c>
      <c r="I185" s="38" t="s">
        <v>53</v>
      </c>
      <c r="J185" s="38" t="s">
        <v>84</v>
      </c>
      <c r="K185" s="38" t="s">
        <v>57</v>
      </c>
      <c r="L185" s="38" t="s">
        <v>58</v>
      </c>
      <c r="M185" s="38" t="s">
        <v>86</v>
      </c>
      <c r="N185" s="38" t="s">
        <v>60</v>
      </c>
      <c r="O185" s="40"/>
      <c r="P185" s="38" t="s">
        <v>66</v>
      </c>
      <c r="Q185" s="38" t="s">
        <v>87</v>
      </c>
      <c r="R185" s="35" t="s">
        <v>88</v>
      </c>
      <c r="S185" s="35" t="s">
        <v>89</v>
      </c>
      <c r="T185" s="35" t="s">
        <v>90</v>
      </c>
    </row>
    <row r="186" spans="1:20" ht="43.5" x14ac:dyDescent="0.35">
      <c r="A186" s="38" t="s">
        <v>40</v>
      </c>
      <c r="B186" s="38" t="s">
        <v>327</v>
      </c>
      <c r="C186" s="38">
        <v>2</v>
      </c>
      <c r="D186" s="38" t="s">
        <v>329</v>
      </c>
      <c r="E186" s="38" t="s">
        <v>92</v>
      </c>
      <c r="F186" s="38" t="s">
        <v>330</v>
      </c>
      <c r="G186" s="38" t="s">
        <v>94</v>
      </c>
      <c r="H186" s="38" t="s">
        <v>95</v>
      </c>
      <c r="I186" s="38" t="s">
        <v>96</v>
      </c>
      <c r="J186" s="38" t="s">
        <v>97</v>
      </c>
      <c r="K186" s="38" t="s">
        <v>57</v>
      </c>
      <c r="L186" s="38" t="s">
        <v>58</v>
      </c>
      <c r="M186" s="38" t="s">
        <v>86</v>
      </c>
      <c r="N186" s="38" t="s">
        <v>60</v>
      </c>
      <c r="O186" s="40"/>
      <c r="P186" s="38" t="s">
        <v>66</v>
      </c>
      <c r="Q186" s="38" t="s">
        <v>98</v>
      </c>
      <c r="R186" s="35" t="s">
        <v>88</v>
      </c>
      <c r="S186" s="35" t="s">
        <v>89</v>
      </c>
      <c r="T186" s="35" t="s">
        <v>90</v>
      </c>
    </row>
    <row r="187" spans="1:20" ht="43.5" x14ac:dyDescent="0.35">
      <c r="A187" s="38" t="s">
        <v>40</v>
      </c>
      <c r="B187" s="38" t="s">
        <v>327</v>
      </c>
      <c r="C187" s="38">
        <v>3</v>
      </c>
      <c r="D187" s="38" t="s">
        <v>331</v>
      </c>
      <c r="E187" s="38" t="s">
        <v>100</v>
      </c>
      <c r="F187" s="38" t="s">
        <v>332</v>
      </c>
      <c r="G187" s="38" t="s">
        <v>84</v>
      </c>
      <c r="H187" s="38" t="s">
        <v>102</v>
      </c>
      <c r="I187" s="38" t="s">
        <v>96</v>
      </c>
      <c r="J187" s="38" t="s">
        <v>84</v>
      </c>
      <c r="K187" s="38" t="s">
        <v>57</v>
      </c>
      <c r="L187" s="38" t="s">
        <v>58</v>
      </c>
      <c r="M187" s="38" t="s">
        <v>86</v>
      </c>
      <c r="N187" s="38" t="s">
        <v>60</v>
      </c>
      <c r="O187" s="40"/>
      <c r="P187" s="38" t="s">
        <v>66</v>
      </c>
      <c r="Q187" s="38" t="s">
        <v>103</v>
      </c>
      <c r="R187" s="35" t="s">
        <v>88</v>
      </c>
      <c r="S187" s="35" t="s">
        <v>89</v>
      </c>
      <c r="T187" s="35" t="s">
        <v>90</v>
      </c>
    </row>
    <row r="188" spans="1:20" ht="43.5" x14ac:dyDescent="0.35">
      <c r="A188" s="38" t="s">
        <v>40</v>
      </c>
      <c r="B188" s="38" t="s">
        <v>327</v>
      </c>
      <c r="C188" s="38">
        <v>4</v>
      </c>
      <c r="D188" s="38" t="s">
        <v>104</v>
      </c>
      <c r="E188" s="38" t="s">
        <v>105</v>
      </c>
      <c r="F188" s="38" t="s">
        <v>83</v>
      </c>
      <c r="G188" s="38" t="s">
        <v>84</v>
      </c>
      <c r="H188" s="38" t="s">
        <v>106</v>
      </c>
      <c r="I188" s="38" t="s">
        <v>107</v>
      </c>
      <c r="J188" s="38" t="s">
        <v>84</v>
      </c>
      <c r="K188" s="38" t="s">
        <v>57</v>
      </c>
      <c r="L188" s="38" t="s">
        <v>58</v>
      </c>
      <c r="M188" s="38" t="s">
        <v>86</v>
      </c>
      <c r="N188" s="38" t="s">
        <v>60</v>
      </c>
      <c r="O188" s="40"/>
      <c r="P188" s="38" t="s">
        <v>66</v>
      </c>
      <c r="Q188" s="38" t="s">
        <v>108</v>
      </c>
      <c r="R188" s="35" t="s">
        <v>88</v>
      </c>
      <c r="S188" s="35" t="s">
        <v>89</v>
      </c>
      <c r="T188" s="35" t="s">
        <v>90</v>
      </c>
    </row>
    <row r="189" spans="1:20" ht="43.5" x14ac:dyDescent="0.35">
      <c r="A189" s="41" t="s">
        <v>40</v>
      </c>
      <c r="B189" s="41" t="s">
        <v>327</v>
      </c>
      <c r="C189" s="41">
        <v>5</v>
      </c>
      <c r="D189" s="41" t="s">
        <v>109</v>
      </c>
      <c r="E189" s="41" t="s">
        <v>105</v>
      </c>
      <c r="F189" s="41" t="s">
        <v>110</v>
      </c>
      <c r="G189" s="41" t="s">
        <v>84</v>
      </c>
      <c r="H189" s="41" t="s">
        <v>111</v>
      </c>
      <c r="I189" s="41" t="s">
        <v>53</v>
      </c>
      <c r="J189" s="41" t="s">
        <v>84</v>
      </c>
      <c r="K189" s="41" t="s">
        <v>57</v>
      </c>
      <c r="L189" s="41" t="s">
        <v>58</v>
      </c>
      <c r="M189" s="41" t="s">
        <v>86</v>
      </c>
      <c r="N189" s="41" t="s">
        <v>60</v>
      </c>
      <c r="O189" s="42"/>
      <c r="P189" s="41" t="s">
        <v>66</v>
      </c>
      <c r="Q189" s="41" t="s">
        <v>112</v>
      </c>
      <c r="R189" s="35" t="s">
        <v>88</v>
      </c>
      <c r="S189" s="35" t="s">
        <v>89</v>
      </c>
      <c r="T189" s="35" t="s">
        <v>90</v>
      </c>
    </row>
    <row r="190" spans="1:20" ht="43.5" x14ac:dyDescent="0.35">
      <c r="A190" s="43" t="s">
        <v>40</v>
      </c>
      <c r="B190" s="44" t="s">
        <v>333</v>
      </c>
      <c r="C190" s="43">
        <v>1</v>
      </c>
      <c r="D190" s="43" t="s">
        <v>334</v>
      </c>
      <c r="E190" s="43" t="s">
        <v>47</v>
      </c>
      <c r="F190" s="43" t="s">
        <v>83</v>
      </c>
      <c r="G190" s="43" t="s">
        <v>84</v>
      </c>
      <c r="H190" s="43" t="s">
        <v>85</v>
      </c>
      <c r="I190" s="43" t="s">
        <v>53</v>
      </c>
      <c r="J190" s="43" t="s">
        <v>84</v>
      </c>
      <c r="K190" s="43" t="s">
        <v>57</v>
      </c>
      <c r="L190" s="43" t="s">
        <v>58</v>
      </c>
      <c r="M190" s="43" t="s">
        <v>86</v>
      </c>
      <c r="N190" s="43" t="s">
        <v>60</v>
      </c>
      <c r="O190" s="45"/>
      <c r="P190" s="43" t="s">
        <v>66</v>
      </c>
      <c r="Q190" s="43" t="s">
        <v>87</v>
      </c>
      <c r="R190" s="35" t="s">
        <v>88</v>
      </c>
      <c r="S190" s="35" t="s">
        <v>89</v>
      </c>
      <c r="T190" s="35" t="s">
        <v>90</v>
      </c>
    </row>
    <row r="191" spans="1:20" ht="43.5" x14ac:dyDescent="0.35">
      <c r="A191" s="43" t="s">
        <v>40</v>
      </c>
      <c r="B191" s="43" t="s">
        <v>333</v>
      </c>
      <c r="C191" s="43">
        <v>2</v>
      </c>
      <c r="D191" s="43" t="s">
        <v>335</v>
      </c>
      <c r="E191" s="43" t="s">
        <v>92</v>
      </c>
      <c r="F191" s="43" t="s">
        <v>336</v>
      </c>
      <c r="G191" s="43" t="s">
        <v>94</v>
      </c>
      <c r="H191" s="43" t="s">
        <v>95</v>
      </c>
      <c r="I191" s="43" t="s">
        <v>96</v>
      </c>
      <c r="J191" s="43" t="s">
        <v>97</v>
      </c>
      <c r="K191" s="43" t="s">
        <v>57</v>
      </c>
      <c r="L191" s="43" t="s">
        <v>58</v>
      </c>
      <c r="M191" s="43" t="s">
        <v>86</v>
      </c>
      <c r="N191" s="43" t="s">
        <v>60</v>
      </c>
      <c r="O191" s="45"/>
      <c r="P191" s="43" t="s">
        <v>66</v>
      </c>
      <c r="Q191" s="43" t="s">
        <v>98</v>
      </c>
      <c r="R191" s="35" t="s">
        <v>88</v>
      </c>
      <c r="S191" s="35" t="s">
        <v>89</v>
      </c>
      <c r="T191" s="35" t="s">
        <v>90</v>
      </c>
    </row>
    <row r="192" spans="1:20" ht="43.5" x14ac:dyDescent="0.35">
      <c r="A192" s="43" t="s">
        <v>40</v>
      </c>
      <c r="B192" s="43" t="s">
        <v>333</v>
      </c>
      <c r="C192" s="43">
        <v>3</v>
      </c>
      <c r="D192" s="43" t="s">
        <v>337</v>
      </c>
      <c r="E192" s="43" t="s">
        <v>100</v>
      </c>
      <c r="F192" s="43" t="s">
        <v>338</v>
      </c>
      <c r="G192" s="43" t="s">
        <v>84</v>
      </c>
      <c r="H192" s="43" t="s">
        <v>102</v>
      </c>
      <c r="I192" s="43" t="s">
        <v>96</v>
      </c>
      <c r="J192" s="43" t="s">
        <v>84</v>
      </c>
      <c r="K192" s="43" t="s">
        <v>57</v>
      </c>
      <c r="L192" s="43" t="s">
        <v>58</v>
      </c>
      <c r="M192" s="43" t="s">
        <v>86</v>
      </c>
      <c r="N192" s="43" t="s">
        <v>60</v>
      </c>
      <c r="O192" s="45"/>
      <c r="P192" s="43" t="s">
        <v>66</v>
      </c>
      <c r="Q192" s="43" t="s">
        <v>103</v>
      </c>
      <c r="R192" s="35" t="s">
        <v>88</v>
      </c>
      <c r="S192" s="35" t="s">
        <v>89</v>
      </c>
      <c r="T192" s="35" t="s">
        <v>90</v>
      </c>
    </row>
    <row r="193" spans="1:20" ht="43.5" x14ac:dyDescent="0.35">
      <c r="A193" s="43" t="s">
        <v>40</v>
      </c>
      <c r="B193" s="43" t="s">
        <v>333</v>
      </c>
      <c r="C193" s="43">
        <v>4</v>
      </c>
      <c r="D193" s="43" t="s">
        <v>104</v>
      </c>
      <c r="E193" s="43" t="s">
        <v>105</v>
      </c>
      <c r="F193" s="43" t="s">
        <v>83</v>
      </c>
      <c r="G193" s="43" t="s">
        <v>84</v>
      </c>
      <c r="H193" s="43" t="s">
        <v>106</v>
      </c>
      <c r="I193" s="43" t="s">
        <v>107</v>
      </c>
      <c r="J193" s="43" t="s">
        <v>84</v>
      </c>
      <c r="K193" s="43" t="s">
        <v>57</v>
      </c>
      <c r="L193" s="43" t="s">
        <v>58</v>
      </c>
      <c r="M193" s="43" t="s">
        <v>86</v>
      </c>
      <c r="N193" s="43" t="s">
        <v>60</v>
      </c>
      <c r="O193" s="45"/>
      <c r="P193" s="43" t="s">
        <v>66</v>
      </c>
      <c r="Q193" s="43" t="s">
        <v>108</v>
      </c>
      <c r="R193" s="35" t="s">
        <v>88</v>
      </c>
      <c r="S193" s="35" t="s">
        <v>89</v>
      </c>
      <c r="T193" s="35" t="s">
        <v>90</v>
      </c>
    </row>
    <row r="194" spans="1:20" ht="43.5" x14ac:dyDescent="0.35">
      <c r="A194" s="46" t="s">
        <v>40</v>
      </c>
      <c r="B194" s="46" t="s">
        <v>333</v>
      </c>
      <c r="C194" s="46">
        <v>5</v>
      </c>
      <c r="D194" s="46" t="s">
        <v>109</v>
      </c>
      <c r="E194" s="46" t="s">
        <v>105</v>
      </c>
      <c r="F194" s="46" t="s">
        <v>110</v>
      </c>
      <c r="G194" s="46" t="s">
        <v>84</v>
      </c>
      <c r="H194" s="46" t="s">
        <v>111</v>
      </c>
      <c r="I194" s="46" t="s">
        <v>53</v>
      </c>
      <c r="J194" s="46" t="s">
        <v>84</v>
      </c>
      <c r="K194" s="46" t="s">
        <v>57</v>
      </c>
      <c r="L194" s="46" t="s">
        <v>58</v>
      </c>
      <c r="M194" s="46" t="s">
        <v>86</v>
      </c>
      <c r="N194" s="46" t="s">
        <v>60</v>
      </c>
      <c r="O194" s="47"/>
      <c r="P194" s="46" t="s">
        <v>66</v>
      </c>
      <c r="Q194" s="46" t="s">
        <v>112</v>
      </c>
      <c r="R194" s="35" t="s">
        <v>88</v>
      </c>
      <c r="S194" s="35" t="s">
        <v>89</v>
      </c>
      <c r="T194" s="35" t="s">
        <v>90</v>
      </c>
    </row>
    <row r="195" spans="1:20" ht="43.5" x14ac:dyDescent="0.35">
      <c r="A195" s="38" t="s">
        <v>40</v>
      </c>
      <c r="B195" s="39" t="s">
        <v>339</v>
      </c>
      <c r="C195" s="38">
        <v>1</v>
      </c>
      <c r="D195" s="38" t="s">
        <v>340</v>
      </c>
      <c r="E195" s="38" t="s">
        <v>47</v>
      </c>
      <c r="F195" s="38" t="s">
        <v>83</v>
      </c>
      <c r="G195" s="38" t="s">
        <v>84</v>
      </c>
      <c r="H195" s="38" t="s">
        <v>85</v>
      </c>
      <c r="I195" s="38" t="s">
        <v>53</v>
      </c>
      <c r="J195" s="38" t="s">
        <v>84</v>
      </c>
      <c r="K195" s="38" t="s">
        <v>57</v>
      </c>
      <c r="L195" s="38" t="s">
        <v>58</v>
      </c>
      <c r="M195" s="38" t="s">
        <v>86</v>
      </c>
      <c r="N195" s="38" t="s">
        <v>60</v>
      </c>
      <c r="O195" s="40"/>
      <c r="P195" s="38" t="s">
        <v>66</v>
      </c>
      <c r="Q195" s="38" t="s">
        <v>87</v>
      </c>
      <c r="R195" s="35" t="s">
        <v>88</v>
      </c>
      <c r="S195" s="35" t="s">
        <v>89</v>
      </c>
      <c r="T195" s="35" t="s">
        <v>90</v>
      </c>
    </row>
    <row r="196" spans="1:20" ht="43.5" x14ac:dyDescent="0.35">
      <c r="A196" s="38" t="s">
        <v>40</v>
      </c>
      <c r="B196" s="38" t="s">
        <v>339</v>
      </c>
      <c r="C196" s="38">
        <v>2</v>
      </c>
      <c r="D196" s="38" t="s">
        <v>341</v>
      </c>
      <c r="E196" s="38" t="s">
        <v>92</v>
      </c>
      <c r="F196" s="38" t="s">
        <v>342</v>
      </c>
      <c r="G196" s="38" t="s">
        <v>94</v>
      </c>
      <c r="H196" s="38" t="s">
        <v>95</v>
      </c>
      <c r="I196" s="38" t="s">
        <v>96</v>
      </c>
      <c r="J196" s="38" t="s">
        <v>97</v>
      </c>
      <c r="K196" s="38" t="s">
        <v>57</v>
      </c>
      <c r="L196" s="38" t="s">
        <v>58</v>
      </c>
      <c r="M196" s="38" t="s">
        <v>86</v>
      </c>
      <c r="N196" s="38" t="s">
        <v>60</v>
      </c>
      <c r="O196" s="40"/>
      <c r="P196" s="38" t="s">
        <v>66</v>
      </c>
      <c r="Q196" s="38" t="s">
        <v>98</v>
      </c>
      <c r="R196" s="35" t="s">
        <v>88</v>
      </c>
      <c r="S196" s="35" t="s">
        <v>89</v>
      </c>
      <c r="T196" s="35" t="s">
        <v>90</v>
      </c>
    </row>
    <row r="197" spans="1:20" ht="43.5" x14ac:dyDescent="0.35">
      <c r="A197" s="38" t="s">
        <v>40</v>
      </c>
      <c r="B197" s="38" t="s">
        <v>339</v>
      </c>
      <c r="C197" s="38">
        <v>3</v>
      </c>
      <c r="D197" s="38" t="s">
        <v>343</v>
      </c>
      <c r="E197" s="38" t="s">
        <v>100</v>
      </c>
      <c r="F197" s="38" t="s">
        <v>344</v>
      </c>
      <c r="G197" s="38" t="s">
        <v>84</v>
      </c>
      <c r="H197" s="38" t="s">
        <v>102</v>
      </c>
      <c r="I197" s="38" t="s">
        <v>96</v>
      </c>
      <c r="J197" s="38" t="s">
        <v>84</v>
      </c>
      <c r="K197" s="38" t="s">
        <v>57</v>
      </c>
      <c r="L197" s="38" t="s">
        <v>58</v>
      </c>
      <c r="M197" s="38" t="s">
        <v>86</v>
      </c>
      <c r="N197" s="38" t="s">
        <v>60</v>
      </c>
      <c r="O197" s="40"/>
      <c r="P197" s="38" t="s">
        <v>66</v>
      </c>
      <c r="Q197" s="38" t="s">
        <v>103</v>
      </c>
      <c r="R197" s="35" t="s">
        <v>88</v>
      </c>
      <c r="S197" s="35" t="s">
        <v>89</v>
      </c>
      <c r="T197" s="35" t="s">
        <v>90</v>
      </c>
    </row>
    <row r="198" spans="1:20" ht="43.5" x14ac:dyDescent="0.35">
      <c r="A198" s="38" t="s">
        <v>40</v>
      </c>
      <c r="B198" s="38" t="s">
        <v>339</v>
      </c>
      <c r="C198" s="38">
        <v>4</v>
      </c>
      <c r="D198" s="38" t="s">
        <v>104</v>
      </c>
      <c r="E198" s="38" t="s">
        <v>105</v>
      </c>
      <c r="F198" s="38" t="s">
        <v>83</v>
      </c>
      <c r="G198" s="38" t="s">
        <v>84</v>
      </c>
      <c r="H198" s="38" t="s">
        <v>106</v>
      </c>
      <c r="I198" s="38" t="s">
        <v>107</v>
      </c>
      <c r="J198" s="38" t="s">
        <v>84</v>
      </c>
      <c r="K198" s="38" t="s">
        <v>57</v>
      </c>
      <c r="L198" s="38" t="s">
        <v>58</v>
      </c>
      <c r="M198" s="38" t="s">
        <v>86</v>
      </c>
      <c r="N198" s="38" t="s">
        <v>60</v>
      </c>
      <c r="O198" s="40"/>
      <c r="P198" s="38" t="s">
        <v>66</v>
      </c>
      <c r="Q198" s="38" t="s">
        <v>108</v>
      </c>
      <c r="R198" s="35" t="s">
        <v>88</v>
      </c>
      <c r="S198" s="35" t="s">
        <v>89</v>
      </c>
      <c r="T198" s="35" t="s">
        <v>90</v>
      </c>
    </row>
    <row r="199" spans="1:20" ht="43.5" x14ac:dyDescent="0.35">
      <c r="A199" s="41" t="s">
        <v>40</v>
      </c>
      <c r="B199" s="41" t="s">
        <v>339</v>
      </c>
      <c r="C199" s="41">
        <v>5</v>
      </c>
      <c r="D199" s="41" t="s">
        <v>109</v>
      </c>
      <c r="E199" s="41" t="s">
        <v>105</v>
      </c>
      <c r="F199" s="41" t="s">
        <v>110</v>
      </c>
      <c r="G199" s="41" t="s">
        <v>84</v>
      </c>
      <c r="H199" s="41" t="s">
        <v>111</v>
      </c>
      <c r="I199" s="41" t="s">
        <v>53</v>
      </c>
      <c r="J199" s="41" t="s">
        <v>84</v>
      </c>
      <c r="K199" s="41" t="s">
        <v>57</v>
      </c>
      <c r="L199" s="41" t="s">
        <v>58</v>
      </c>
      <c r="M199" s="41" t="s">
        <v>86</v>
      </c>
      <c r="N199" s="41" t="s">
        <v>60</v>
      </c>
      <c r="O199" s="42"/>
      <c r="P199" s="41" t="s">
        <v>66</v>
      </c>
      <c r="Q199" s="41" t="s">
        <v>112</v>
      </c>
      <c r="R199" s="35" t="s">
        <v>88</v>
      </c>
      <c r="S199" s="35" t="s">
        <v>89</v>
      </c>
      <c r="T199" s="35" t="s">
        <v>90</v>
      </c>
    </row>
    <row r="200" spans="1:20" ht="43.5" x14ac:dyDescent="0.35">
      <c r="A200" s="43" t="s">
        <v>40</v>
      </c>
      <c r="B200" s="44" t="s">
        <v>345</v>
      </c>
      <c r="C200" s="43">
        <v>1</v>
      </c>
      <c r="D200" s="43" t="s">
        <v>346</v>
      </c>
      <c r="E200" s="43" t="s">
        <v>47</v>
      </c>
      <c r="F200" s="43" t="s">
        <v>83</v>
      </c>
      <c r="G200" s="43" t="s">
        <v>84</v>
      </c>
      <c r="H200" s="43" t="s">
        <v>85</v>
      </c>
      <c r="I200" s="43" t="s">
        <v>53</v>
      </c>
      <c r="J200" s="43" t="s">
        <v>84</v>
      </c>
      <c r="K200" s="43" t="s">
        <v>57</v>
      </c>
      <c r="L200" s="43" t="s">
        <v>58</v>
      </c>
      <c r="M200" s="43" t="s">
        <v>86</v>
      </c>
      <c r="N200" s="43" t="s">
        <v>60</v>
      </c>
      <c r="O200" s="45"/>
      <c r="P200" s="43" t="s">
        <v>66</v>
      </c>
      <c r="Q200" s="43" t="s">
        <v>87</v>
      </c>
      <c r="R200" s="35" t="s">
        <v>88</v>
      </c>
      <c r="S200" s="35" t="s">
        <v>89</v>
      </c>
      <c r="T200" s="35" t="s">
        <v>90</v>
      </c>
    </row>
    <row r="201" spans="1:20" ht="43.5" x14ac:dyDescent="0.35">
      <c r="A201" s="43" t="s">
        <v>40</v>
      </c>
      <c r="B201" s="43" t="s">
        <v>345</v>
      </c>
      <c r="C201" s="43">
        <v>2</v>
      </c>
      <c r="D201" s="43" t="s">
        <v>347</v>
      </c>
      <c r="E201" s="43" t="s">
        <v>92</v>
      </c>
      <c r="F201" s="43" t="s">
        <v>348</v>
      </c>
      <c r="G201" s="43" t="s">
        <v>94</v>
      </c>
      <c r="H201" s="43" t="s">
        <v>95</v>
      </c>
      <c r="I201" s="43" t="s">
        <v>96</v>
      </c>
      <c r="J201" s="43" t="s">
        <v>97</v>
      </c>
      <c r="K201" s="43" t="s">
        <v>57</v>
      </c>
      <c r="L201" s="43" t="s">
        <v>58</v>
      </c>
      <c r="M201" s="43" t="s">
        <v>86</v>
      </c>
      <c r="N201" s="43" t="s">
        <v>60</v>
      </c>
      <c r="O201" s="45"/>
      <c r="P201" s="43" t="s">
        <v>66</v>
      </c>
      <c r="Q201" s="43" t="s">
        <v>98</v>
      </c>
      <c r="R201" s="35" t="s">
        <v>88</v>
      </c>
      <c r="S201" s="35" t="s">
        <v>89</v>
      </c>
      <c r="T201" s="35" t="s">
        <v>90</v>
      </c>
    </row>
    <row r="202" spans="1:20" ht="43.5" x14ac:dyDescent="0.35">
      <c r="A202" s="43" t="s">
        <v>40</v>
      </c>
      <c r="B202" s="43" t="s">
        <v>345</v>
      </c>
      <c r="C202" s="43">
        <v>3</v>
      </c>
      <c r="D202" s="43" t="s">
        <v>349</v>
      </c>
      <c r="E202" s="43" t="s">
        <v>100</v>
      </c>
      <c r="F202" s="43" t="s">
        <v>350</v>
      </c>
      <c r="G202" s="43" t="s">
        <v>84</v>
      </c>
      <c r="H202" s="43" t="s">
        <v>102</v>
      </c>
      <c r="I202" s="43" t="s">
        <v>96</v>
      </c>
      <c r="J202" s="43" t="s">
        <v>84</v>
      </c>
      <c r="K202" s="43" t="s">
        <v>57</v>
      </c>
      <c r="L202" s="43" t="s">
        <v>58</v>
      </c>
      <c r="M202" s="43" t="s">
        <v>86</v>
      </c>
      <c r="N202" s="43" t="s">
        <v>60</v>
      </c>
      <c r="O202" s="45"/>
      <c r="P202" s="43" t="s">
        <v>66</v>
      </c>
      <c r="Q202" s="43" t="s">
        <v>103</v>
      </c>
      <c r="R202" s="35" t="s">
        <v>88</v>
      </c>
      <c r="S202" s="35" t="s">
        <v>89</v>
      </c>
      <c r="T202" s="35" t="s">
        <v>90</v>
      </c>
    </row>
    <row r="203" spans="1:20" ht="43.5" x14ac:dyDescent="0.35">
      <c r="A203" s="43" t="s">
        <v>40</v>
      </c>
      <c r="B203" s="43" t="s">
        <v>345</v>
      </c>
      <c r="C203" s="43">
        <v>4</v>
      </c>
      <c r="D203" s="43" t="s">
        <v>104</v>
      </c>
      <c r="E203" s="43" t="s">
        <v>105</v>
      </c>
      <c r="F203" s="43" t="s">
        <v>83</v>
      </c>
      <c r="G203" s="43" t="s">
        <v>84</v>
      </c>
      <c r="H203" s="43" t="s">
        <v>106</v>
      </c>
      <c r="I203" s="43" t="s">
        <v>107</v>
      </c>
      <c r="J203" s="43" t="s">
        <v>84</v>
      </c>
      <c r="K203" s="43" t="s">
        <v>57</v>
      </c>
      <c r="L203" s="43" t="s">
        <v>58</v>
      </c>
      <c r="M203" s="43" t="s">
        <v>86</v>
      </c>
      <c r="N203" s="43" t="s">
        <v>60</v>
      </c>
      <c r="O203" s="45"/>
      <c r="P203" s="43" t="s">
        <v>66</v>
      </c>
      <c r="Q203" s="43" t="s">
        <v>108</v>
      </c>
      <c r="R203" s="35" t="s">
        <v>88</v>
      </c>
      <c r="S203" s="35" t="s">
        <v>89</v>
      </c>
      <c r="T203" s="35" t="s">
        <v>90</v>
      </c>
    </row>
    <row r="204" spans="1:20" ht="43.5" x14ac:dyDescent="0.35">
      <c r="A204" s="46" t="s">
        <v>40</v>
      </c>
      <c r="B204" s="46" t="s">
        <v>345</v>
      </c>
      <c r="C204" s="46">
        <v>5</v>
      </c>
      <c r="D204" s="46" t="s">
        <v>109</v>
      </c>
      <c r="E204" s="46" t="s">
        <v>105</v>
      </c>
      <c r="F204" s="46" t="s">
        <v>110</v>
      </c>
      <c r="G204" s="46" t="s">
        <v>84</v>
      </c>
      <c r="H204" s="46" t="s">
        <v>111</v>
      </c>
      <c r="I204" s="46" t="s">
        <v>53</v>
      </c>
      <c r="J204" s="46" t="s">
        <v>84</v>
      </c>
      <c r="K204" s="46" t="s">
        <v>57</v>
      </c>
      <c r="L204" s="46" t="s">
        <v>58</v>
      </c>
      <c r="M204" s="46" t="s">
        <v>86</v>
      </c>
      <c r="N204" s="46" t="s">
        <v>60</v>
      </c>
      <c r="O204" s="47"/>
      <c r="P204" s="46" t="s">
        <v>66</v>
      </c>
      <c r="Q204" s="46" t="s">
        <v>112</v>
      </c>
      <c r="R204" s="35" t="s">
        <v>88</v>
      </c>
      <c r="S204" s="35" t="s">
        <v>89</v>
      </c>
      <c r="T204" s="35" t="s">
        <v>90</v>
      </c>
    </row>
    <row r="205" spans="1:20" ht="43.5" x14ac:dyDescent="0.35">
      <c r="A205" s="38" t="s">
        <v>40</v>
      </c>
      <c r="B205" s="39" t="s">
        <v>351</v>
      </c>
      <c r="C205" s="38">
        <v>1</v>
      </c>
      <c r="D205" s="38" t="s">
        <v>352</v>
      </c>
      <c r="E205" s="38" t="s">
        <v>47</v>
      </c>
      <c r="F205" s="38" t="s">
        <v>83</v>
      </c>
      <c r="G205" s="38" t="s">
        <v>84</v>
      </c>
      <c r="H205" s="38" t="s">
        <v>85</v>
      </c>
      <c r="I205" s="38" t="s">
        <v>53</v>
      </c>
      <c r="J205" s="38" t="s">
        <v>84</v>
      </c>
      <c r="K205" s="38" t="s">
        <v>57</v>
      </c>
      <c r="L205" s="38" t="s">
        <v>58</v>
      </c>
      <c r="M205" s="38" t="s">
        <v>86</v>
      </c>
      <c r="N205" s="38" t="s">
        <v>60</v>
      </c>
      <c r="O205" s="40"/>
      <c r="P205" s="38" t="s">
        <v>66</v>
      </c>
      <c r="Q205" s="38" t="s">
        <v>87</v>
      </c>
      <c r="R205" s="35" t="s">
        <v>88</v>
      </c>
      <c r="S205" s="35" t="s">
        <v>89</v>
      </c>
      <c r="T205" s="35" t="s">
        <v>90</v>
      </c>
    </row>
    <row r="206" spans="1:20" ht="43.5" x14ac:dyDescent="0.35">
      <c r="A206" s="38" t="s">
        <v>40</v>
      </c>
      <c r="B206" s="38" t="s">
        <v>351</v>
      </c>
      <c r="C206" s="38">
        <v>2</v>
      </c>
      <c r="D206" s="38" t="s">
        <v>341</v>
      </c>
      <c r="E206" s="38" t="s">
        <v>92</v>
      </c>
      <c r="F206" s="38" t="s">
        <v>353</v>
      </c>
      <c r="G206" s="38" t="s">
        <v>94</v>
      </c>
      <c r="H206" s="38" t="s">
        <v>95</v>
      </c>
      <c r="I206" s="38" t="s">
        <v>96</v>
      </c>
      <c r="J206" s="38" t="s">
        <v>97</v>
      </c>
      <c r="K206" s="38" t="s">
        <v>57</v>
      </c>
      <c r="L206" s="38" t="s">
        <v>58</v>
      </c>
      <c r="M206" s="38" t="s">
        <v>86</v>
      </c>
      <c r="N206" s="38" t="s">
        <v>60</v>
      </c>
      <c r="O206" s="40"/>
      <c r="P206" s="38" t="s">
        <v>66</v>
      </c>
      <c r="Q206" s="38" t="s">
        <v>98</v>
      </c>
      <c r="R206" s="35" t="s">
        <v>88</v>
      </c>
      <c r="S206" s="35" t="s">
        <v>89</v>
      </c>
      <c r="T206" s="35" t="s">
        <v>90</v>
      </c>
    </row>
    <row r="207" spans="1:20" ht="43.5" x14ac:dyDescent="0.35">
      <c r="A207" s="38" t="s">
        <v>40</v>
      </c>
      <c r="B207" s="38" t="s">
        <v>351</v>
      </c>
      <c r="C207" s="38">
        <v>3</v>
      </c>
      <c r="D207" s="38" t="s">
        <v>232</v>
      </c>
      <c r="E207" s="38" t="s">
        <v>100</v>
      </c>
      <c r="F207" s="38" t="s">
        <v>354</v>
      </c>
      <c r="G207" s="38" t="s">
        <v>84</v>
      </c>
      <c r="H207" s="38" t="s">
        <v>102</v>
      </c>
      <c r="I207" s="38" t="s">
        <v>96</v>
      </c>
      <c r="J207" s="38" t="s">
        <v>84</v>
      </c>
      <c r="K207" s="38" t="s">
        <v>57</v>
      </c>
      <c r="L207" s="38" t="s">
        <v>58</v>
      </c>
      <c r="M207" s="38" t="s">
        <v>86</v>
      </c>
      <c r="N207" s="38" t="s">
        <v>60</v>
      </c>
      <c r="O207" s="40"/>
      <c r="P207" s="38" t="s">
        <v>66</v>
      </c>
      <c r="Q207" s="38" t="s">
        <v>103</v>
      </c>
      <c r="R207" s="35" t="s">
        <v>88</v>
      </c>
      <c r="S207" s="35" t="s">
        <v>89</v>
      </c>
      <c r="T207" s="35" t="s">
        <v>90</v>
      </c>
    </row>
    <row r="208" spans="1:20" ht="43.5" x14ac:dyDescent="0.35">
      <c r="A208" s="38" t="s">
        <v>40</v>
      </c>
      <c r="B208" s="38" t="s">
        <v>351</v>
      </c>
      <c r="C208" s="38">
        <v>4</v>
      </c>
      <c r="D208" s="38" t="s">
        <v>104</v>
      </c>
      <c r="E208" s="38" t="s">
        <v>105</v>
      </c>
      <c r="F208" s="38" t="s">
        <v>83</v>
      </c>
      <c r="G208" s="38" t="s">
        <v>84</v>
      </c>
      <c r="H208" s="38" t="s">
        <v>106</v>
      </c>
      <c r="I208" s="38" t="s">
        <v>107</v>
      </c>
      <c r="J208" s="38" t="s">
        <v>84</v>
      </c>
      <c r="K208" s="38" t="s">
        <v>57</v>
      </c>
      <c r="L208" s="38" t="s">
        <v>58</v>
      </c>
      <c r="M208" s="38" t="s">
        <v>86</v>
      </c>
      <c r="N208" s="38" t="s">
        <v>60</v>
      </c>
      <c r="O208" s="40"/>
      <c r="P208" s="38" t="s">
        <v>66</v>
      </c>
      <c r="Q208" s="38" t="s">
        <v>108</v>
      </c>
      <c r="R208" s="35" t="s">
        <v>88</v>
      </c>
      <c r="S208" s="35" t="s">
        <v>89</v>
      </c>
      <c r="T208" s="35" t="s">
        <v>90</v>
      </c>
    </row>
    <row r="209" spans="1:20" ht="43.5" x14ac:dyDescent="0.35">
      <c r="A209" s="41" t="s">
        <v>40</v>
      </c>
      <c r="B209" s="41" t="s">
        <v>351</v>
      </c>
      <c r="C209" s="41">
        <v>5</v>
      </c>
      <c r="D209" s="41" t="s">
        <v>109</v>
      </c>
      <c r="E209" s="41" t="s">
        <v>105</v>
      </c>
      <c r="F209" s="41" t="s">
        <v>110</v>
      </c>
      <c r="G209" s="41" t="s">
        <v>84</v>
      </c>
      <c r="H209" s="41" t="s">
        <v>111</v>
      </c>
      <c r="I209" s="41" t="s">
        <v>53</v>
      </c>
      <c r="J209" s="41" t="s">
        <v>84</v>
      </c>
      <c r="K209" s="41" t="s">
        <v>57</v>
      </c>
      <c r="L209" s="41" t="s">
        <v>58</v>
      </c>
      <c r="M209" s="41" t="s">
        <v>86</v>
      </c>
      <c r="N209" s="41" t="s">
        <v>60</v>
      </c>
      <c r="O209" s="42"/>
      <c r="P209" s="41" t="s">
        <v>66</v>
      </c>
      <c r="Q209" s="41" t="s">
        <v>112</v>
      </c>
      <c r="R209" s="35" t="s">
        <v>88</v>
      </c>
      <c r="S209" s="35" t="s">
        <v>89</v>
      </c>
      <c r="T209" s="35" t="s">
        <v>90</v>
      </c>
    </row>
    <row r="210" spans="1:20" ht="43.5" x14ac:dyDescent="0.35">
      <c r="A210" s="43" t="s">
        <v>40</v>
      </c>
      <c r="B210" s="44" t="s">
        <v>355</v>
      </c>
      <c r="C210" s="43">
        <v>1</v>
      </c>
      <c r="D210" s="43" t="s">
        <v>356</v>
      </c>
      <c r="E210" s="43" t="s">
        <v>47</v>
      </c>
      <c r="F210" s="43" t="s">
        <v>83</v>
      </c>
      <c r="G210" s="43" t="s">
        <v>84</v>
      </c>
      <c r="H210" s="43" t="s">
        <v>85</v>
      </c>
      <c r="I210" s="43" t="s">
        <v>53</v>
      </c>
      <c r="J210" s="43" t="s">
        <v>84</v>
      </c>
      <c r="K210" s="43" t="s">
        <v>57</v>
      </c>
      <c r="L210" s="43" t="s">
        <v>58</v>
      </c>
      <c r="M210" s="43" t="s">
        <v>86</v>
      </c>
      <c r="N210" s="43" t="s">
        <v>60</v>
      </c>
      <c r="O210" s="45"/>
      <c r="P210" s="43" t="s">
        <v>66</v>
      </c>
      <c r="Q210" s="43" t="s">
        <v>87</v>
      </c>
      <c r="R210" s="35" t="s">
        <v>88</v>
      </c>
      <c r="S210" s="35" t="s">
        <v>89</v>
      </c>
      <c r="T210" s="35" t="s">
        <v>90</v>
      </c>
    </row>
    <row r="211" spans="1:20" ht="43.5" x14ac:dyDescent="0.35">
      <c r="A211" s="43" t="s">
        <v>40</v>
      </c>
      <c r="B211" s="43" t="s">
        <v>355</v>
      </c>
      <c r="C211" s="43">
        <v>2</v>
      </c>
      <c r="D211" s="43" t="s">
        <v>357</v>
      </c>
      <c r="E211" s="43" t="s">
        <v>92</v>
      </c>
      <c r="F211" s="43" t="s">
        <v>358</v>
      </c>
      <c r="G211" s="43" t="s">
        <v>94</v>
      </c>
      <c r="H211" s="43" t="s">
        <v>95</v>
      </c>
      <c r="I211" s="43" t="s">
        <v>96</v>
      </c>
      <c r="J211" s="43" t="s">
        <v>97</v>
      </c>
      <c r="K211" s="43" t="s">
        <v>57</v>
      </c>
      <c r="L211" s="43" t="s">
        <v>58</v>
      </c>
      <c r="M211" s="43" t="s">
        <v>86</v>
      </c>
      <c r="N211" s="43" t="s">
        <v>60</v>
      </c>
      <c r="O211" s="45"/>
      <c r="P211" s="43" t="s">
        <v>66</v>
      </c>
      <c r="Q211" s="43" t="s">
        <v>98</v>
      </c>
      <c r="R211" s="35" t="s">
        <v>88</v>
      </c>
      <c r="S211" s="35" t="s">
        <v>89</v>
      </c>
      <c r="T211" s="35" t="s">
        <v>90</v>
      </c>
    </row>
    <row r="212" spans="1:20" ht="43.5" x14ac:dyDescent="0.35">
      <c r="A212" s="43" t="s">
        <v>40</v>
      </c>
      <c r="B212" s="43" t="s">
        <v>355</v>
      </c>
      <c r="C212" s="43">
        <v>3</v>
      </c>
      <c r="D212" s="43" t="s">
        <v>359</v>
      </c>
      <c r="E212" s="43" t="s">
        <v>100</v>
      </c>
      <c r="F212" s="43" t="s">
        <v>360</v>
      </c>
      <c r="G212" s="43" t="s">
        <v>84</v>
      </c>
      <c r="H212" s="43" t="s">
        <v>102</v>
      </c>
      <c r="I212" s="43" t="s">
        <v>96</v>
      </c>
      <c r="J212" s="43" t="s">
        <v>84</v>
      </c>
      <c r="K212" s="43" t="s">
        <v>57</v>
      </c>
      <c r="L212" s="43" t="s">
        <v>58</v>
      </c>
      <c r="M212" s="43" t="s">
        <v>86</v>
      </c>
      <c r="N212" s="43" t="s">
        <v>60</v>
      </c>
      <c r="O212" s="45"/>
      <c r="P212" s="43" t="s">
        <v>66</v>
      </c>
      <c r="Q212" s="43" t="s">
        <v>103</v>
      </c>
      <c r="R212" s="35" t="s">
        <v>88</v>
      </c>
      <c r="S212" s="35" t="s">
        <v>89</v>
      </c>
      <c r="T212" s="35" t="s">
        <v>90</v>
      </c>
    </row>
    <row r="213" spans="1:20" ht="43.5" x14ac:dyDescent="0.35">
      <c r="A213" s="43" t="s">
        <v>40</v>
      </c>
      <c r="B213" s="43" t="s">
        <v>355</v>
      </c>
      <c r="C213" s="43">
        <v>4</v>
      </c>
      <c r="D213" s="43" t="s">
        <v>104</v>
      </c>
      <c r="E213" s="43" t="s">
        <v>105</v>
      </c>
      <c r="F213" s="43" t="s">
        <v>83</v>
      </c>
      <c r="G213" s="43" t="s">
        <v>84</v>
      </c>
      <c r="H213" s="43" t="s">
        <v>106</v>
      </c>
      <c r="I213" s="43" t="s">
        <v>107</v>
      </c>
      <c r="J213" s="43" t="s">
        <v>84</v>
      </c>
      <c r="K213" s="43" t="s">
        <v>57</v>
      </c>
      <c r="L213" s="43" t="s">
        <v>58</v>
      </c>
      <c r="M213" s="43" t="s">
        <v>86</v>
      </c>
      <c r="N213" s="43" t="s">
        <v>60</v>
      </c>
      <c r="O213" s="45"/>
      <c r="P213" s="43" t="s">
        <v>66</v>
      </c>
      <c r="Q213" s="43" t="s">
        <v>108</v>
      </c>
      <c r="R213" s="35" t="s">
        <v>88</v>
      </c>
      <c r="S213" s="35" t="s">
        <v>89</v>
      </c>
      <c r="T213" s="35" t="s">
        <v>90</v>
      </c>
    </row>
    <row r="214" spans="1:20" ht="43.5" x14ac:dyDescent="0.35">
      <c r="A214" s="46" t="s">
        <v>40</v>
      </c>
      <c r="B214" s="46" t="s">
        <v>355</v>
      </c>
      <c r="C214" s="46">
        <v>5</v>
      </c>
      <c r="D214" s="46" t="s">
        <v>109</v>
      </c>
      <c r="E214" s="46" t="s">
        <v>105</v>
      </c>
      <c r="F214" s="46" t="s">
        <v>110</v>
      </c>
      <c r="G214" s="46" t="s">
        <v>84</v>
      </c>
      <c r="H214" s="46" t="s">
        <v>111</v>
      </c>
      <c r="I214" s="46" t="s">
        <v>53</v>
      </c>
      <c r="J214" s="46" t="s">
        <v>84</v>
      </c>
      <c r="K214" s="46" t="s">
        <v>57</v>
      </c>
      <c r="L214" s="46" t="s">
        <v>58</v>
      </c>
      <c r="M214" s="46" t="s">
        <v>86</v>
      </c>
      <c r="N214" s="46" t="s">
        <v>60</v>
      </c>
      <c r="O214" s="47"/>
      <c r="P214" s="46" t="s">
        <v>66</v>
      </c>
      <c r="Q214" s="46" t="s">
        <v>112</v>
      </c>
      <c r="R214" s="35" t="s">
        <v>88</v>
      </c>
      <c r="S214" s="35" t="s">
        <v>89</v>
      </c>
      <c r="T214" s="35" t="s">
        <v>90</v>
      </c>
    </row>
    <row r="215" spans="1:20" ht="43.5" x14ac:dyDescent="0.35">
      <c r="A215" s="38" t="s">
        <v>40</v>
      </c>
      <c r="B215" s="39" t="s">
        <v>361</v>
      </c>
      <c r="C215" s="38">
        <v>1</v>
      </c>
      <c r="D215" s="38" t="s">
        <v>362</v>
      </c>
      <c r="E215" s="38" t="s">
        <v>47</v>
      </c>
      <c r="F215" s="38" t="s">
        <v>83</v>
      </c>
      <c r="G215" s="38" t="s">
        <v>84</v>
      </c>
      <c r="H215" s="38" t="s">
        <v>85</v>
      </c>
      <c r="I215" s="38" t="s">
        <v>53</v>
      </c>
      <c r="J215" s="38" t="s">
        <v>84</v>
      </c>
      <c r="K215" s="38" t="s">
        <v>57</v>
      </c>
      <c r="L215" s="38" t="s">
        <v>58</v>
      </c>
      <c r="M215" s="38" t="s">
        <v>86</v>
      </c>
      <c r="N215" s="38" t="s">
        <v>60</v>
      </c>
      <c r="O215" s="40"/>
      <c r="P215" s="38" t="s">
        <v>66</v>
      </c>
      <c r="Q215" s="38" t="s">
        <v>87</v>
      </c>
      <c r="R215" s="35" t="s">
        <v>88</v>
      </c>
      <c r="S215" s="35" t="s">
        <v>89</v>
      </c>
      <c r="T215" s="35" t="s">
        <v>90</v>
      </c>
    </row>
    <row r="216" spans="1:20" ht="43.5" x14ac:dyDescent="0.35">
      <c r="A216" s="38" t="s">
        <v>40</v>
      </c>
      <c r="B216" s="38" t="s">
        <v>361</v>
      </c>
      <c r="C216" s="38">
        <v>2</v>
      </c>
      <c r="D216" s="38" t="s">
        <v>341</v>
      </c>
      <c r="E216" s="38" t="s">
        <v>92</v>
      </c>
      <c r="F216" s="38" t="s">
        <v>363</v>
      </c>
      <c r="G216" s="38" t="s">
        <v>94</v>
      </c>
      <c r="H216" s="38" t="s">
        <v>95</v>
      </c>
      <c r="I216" s="38" t="s">
        <v>96</v>
      </c>
      <c r="J216" s="38" t="s">
        <v>97</v>
      </c>
      <c r="K216" s="38" t="s">
        <v>57</v>
      </c>
      <c r="L216" s="38" t="s">
        <v>58</v>
      </c>
      <c r="M216" s="38" t="s">
        <v>86</v>
      </c>
      <c r="N216" s="38" t="s">
        <v>60</v>
      </c>
      <c r="O216" s="40"/>
      <c r="P216" s="38" t="s">
        <v>66</v>
      </c>
      <c r="Q216" s="38" t="s">
        <v>98</v>
      </c>
      <c r="R216" s="35" t="s">
        <v>88</v>
      </c>
      <c r="S216" s="35" t="s">
        <v>89</v>
      </c>
      <c r="T216" s="35" t="s">
        <v>90</v>
      </c>
    </row>
    <row r="217" spans="1:20" ht="43.5" x14ac:dyDescent="0.35">
      <c r="A217" s="38" t="s">
        <v>40</v>
      </c>
      <c r="B217" s="38" t="s">
        <v>361</v>
      </c>
      <c r="C217" s="38">
        <v>3</v>
      </c>
      <c r="D217" s="38" t="s">
        <v>129</v>
      </c>
      <c r="E217" s="38" t="s">
        <v>100</v>
      </c>
      <c r="F217" s="38" t="s">
        <v>364</v>
      </c>
      <c r="G217" s="38" t="s">
        <v>84</v>
      </c>
      <c r="H217" s="38" t="s">
        <v>102</v>
      </c>
      <c r="I217" s="38" t="s">
        <v>96</v>
      </c>
      <c r="J217" s="38" t="s">
        <v>84</v>
      </c>
      <c r="K217" s="38" t="s">
        <v>57</v>
      </c>
      <c r="L217" s="38" t="s">
        <v>58</v>
      </c>
      <c r="M217" s="38" t="s">
        <v>86</v>
      </c>
      <c r="N217" s="38" t="s">
        <v>60</v>
      </c>
      <c r="O217" s="40"/>
      <c r="P217" s="38" t="s">
        <v>66</v>
      </c>
      <c r="Q217" s="38" t="s">
        <v>103</v>
      </c>
      <c r="R217" s="35" t="s">
        <v>88</v>
      </c>
      <c r="S217" s="35" t="s">
        <v>89</v>
      </c>
      <c r="T217" s="35" t="s">
        <v>90</v>
      </c>
    </row>
    <row r="218" spans="1:20" ht="43.5" x14ac:dyDescent="0.35">
      <c r="A218" s="38" t="s">
        <v>40</v>
      </c>
      <c r="B218" s="38" t="s">
        <v>361</v>
      </c>
      <c r="C218" s="38">
        <v>4</v>
      </c>
      <c r="D218" s="38" t="s">
        <v>104</v>
      </c>
      <c r="E218" s="38" t="s">
        <v>105</v>
      </c>
      <c r="F218" s="38" t="s">
        <v>83</v>
      </c>
      <c r="G218" s="38" t="s">
        <v>84</v>
      </c>
      <c r="H218" s="38" t="s">
        <v>106</v>
      </c>
      <c r="I218" s="38" t="s">
        <v>107</v>
      </c>
      <c r="J218" s="38" t="s">
        <v>84</v>
      </c>
      <c r="K218" s="38" t="s">
        <v>57</v>
      </c>
      <c r="L218" s="38" t="s">
        <v>58</v>
      </c>
      <c r="M218" s="38" t="s">
        <v>86</v>
      </c>
      <c r="N218" s="38" t="s">
        <v>60</v>
      </c>
      <c r="O218" s="40"/>
      <c r="P218" s="38" t="s">
        <v>66</v>
      </c>
      <c r="Q218" s="38" t="s">
        <v>108</v>
      </c>
      <c r="R218" s="35" t="s">
        <v>88</v>
      </c>
      <c r="S218" s="35" t="s">
        <v>89</v>
      </c>
      <c r="T218" s="35" t="s">
        <v>90</v>
      </c>
    </row>
    <row r="219" spans="1:20" ht="43.5" x14ac:dyDescent="0.35">
      <c r="A219" s="41" t="s">
        <v>40</v>
      </c>
      <c r="B219" s="41" t="s">
        <v>361</v>
      </c>
      <c r="C219" s="41">
        <v>5</v>
      </c>
      <c r="D219" s="41" t="s">
        <v>109</v>
      </c>
      <c r="E219" s="41" t="s">
        <v>105</v>
      </c>
      <c r="F219" s="41" t="s">
        <v>110</v>
      </c>
      <c r="G219" s="41" t="s">
        <v>84</v>
      </c>
      <c r="H219" s="41" t="s">
        <v>111</v>
      </c>
      <c r="I219" s="41" t="s">
        <v>53</v>
      </c>
      <c r="J219" s="41" t="s">
        <v>84</v>
      </c>
      <c r="K219" s="41" t="s">
        <v>57</v>
      </c>
      <c r="L219" s="41" t="s">
        <v>58</v>
      </c>
      <c r="M219" s="41" t="s">
        <v>86</v>
      </c>
      <c r="N219" s="41" t="s">
        <v>60</v>
      </c>
      <c r="O219" s="42"/>
      <c r="P219" s="41" t="s">
        <v>66</v>
      </c>
      <c r="Q219" s="41" t="s">
        <v>112</v>
      </c>
      <c r="R219" s="35" t="s">
        <v>88</v>
      </c>
      <c r="S219" s="35" t="s">
        <v>89</v>
      </c>
      <c r="T219" s="35" t="s">
        <v>90</v>
      </c>
    </row>
    <row r="220" spans="1:20" ht="43.5" x14ac:dyDescent="0.35">
      <c r="A220" s="43" t="s">
        <v>40</v>
      </c>
      <c r="B220" s="44" t="s">
        <v>365</v>
      </c>
      <c r="C220" s="43">
        <v>1</v>
      </c>
      <c r="D220" s="43" t="s">
        <v>366</v>
      </c>
      <c r="E220" s="43" t="s">
        <v>47</v>
      </c>
      <c r="F220" s="43" t="s">
        <v>83</v>
      </c>
      <c r="G220" s="43" t="s">
        <v>84</v>
      </c>
      <c r="H220" s="43" t="s">
        <v>85</v>
      </c>
      <c r="I220" s="43" t="s">
        <v>53</v>
      </c>
      <c r="J220" s="43" t="s">
        <v>84</v>
      </c>
      <c r="K220" s="43" t="s">
        <v>57</v>
      </c>
      <c r="L220" s="43" t="s">
        <v>58</v>
      </c>
      <c r="M220" s="43" t="s">
        <v>86</v>
      </c>
      <c r="N220" s="43" t="s">
        <v>60</v>
      </c>
      <c r="O220" s="45"/>
      <c r="P220" s="43" t="s">
        <v>66</v>
      </c>
      <c r="Q220" s="43" t="s">
        <v>87</v>
      </c>
      <c r="R220" s="35" t="s">
        <v>88</v>
      </c>
      <c r="S220" s="35" t="s">
        <v>89</v>
      </c>
      <c r="T220" s="35" t="s">
        <v>90</v>
      </c>
    </row>
    <row r="221" spans="1:20" ht="43.5" x14ac:dyDescent="0.35">
      <c r="A221" s="43" t="s">
        <v>40</v>
      </c>
      <c r="B221" s="43" t="s">
        <v>365</v>
      </c>
      <c r="C221" s="43">
        <v>2</v>
      </c>
      <c r="D221" s="43" t="s">
        <v>367</v>
      </c>
      <c r="E221" s="43" t="s">
        <v>92</v>
      </c>
      <c r="F221" s="43" t="s">
        <v>368</v>
      </c>
      <c r="G221" s="43" t="s">
        <v>94</v>
      </c>
      <c r="H221" s="43" t="s">
        <v>95</v>
      </c>
      <c r="I221" s="43" t="s">
        <v>96</v>
      </c>
      <c r="J221" s="43" t="s">
        <v>97</v>
      </c>
      <c r="K221" s="43" t="s">
        <v>57</v>
      </c>
      <c r="L221" s="43" t="s">
        <v>58</v>
      </c>
      <c r="M221" s="43" t="s">
        <v>86</v>
      </c>
      <c r="N221" s="43" t="s">
        <v>60</v>
      </c>
      <c r="O221" s="45"/>
      <c r="P221" s="43" t="s">
        <v>66</v>
      </c>
      <c r="Q221" s="43" t="s">
        <v>98</v>
      </c>
      <c r="R221" s="35" t="s">
        <v>88</v>
      </c>
      <c r="S221" s="35" t="s">
        <v>89</v>
      </c>
      <c r="T221" s="35" t="s">
        <v>90</v>
      </c>
    </row>
    <row r="222" spans="1:20" ht="43.5" x14ac:dyDescent="0.35">
      <c r="A222" s="43" t="s">
        <v>40</v>
      </c>
      <c r="B222" s="43" t="s">
        <v>365</v>
      </c>
      <c r="C222" s="43">
        <v>3</v>
      </c>
      <c r="D222" s="43" t="s">
        <v>369</v>
      </c>
      <c r="E222" s="43" t="s">
        <v>100</v>
      </c>
      <c r="F222" s="43" t="s">
        <v>370</v>
      </c>
      <c r="G222" s="43" t="s">
        <v>84</v>
      </c>
      <c r="H222" s="43" t="s">
        <v>102</v>
      </c>
      <c r="I222" s="43" t="s">
        <v>96</v>
      </c>
      <c r="J222" s="43" t="s">
        <v>84</v>
      </c>
      <c r="K222" s="43" t="s">
        <v>57</v>
      </c>
      <c r="L222" s="43" t="s">
        <v>58</v>
      </c>
      <c r="M222" s="43" t="s">
        <v>86</v>
      </c>
      <c r="N222" s="43" t="s">
        <v>60</v>
      </c>
      <c r="O222" s="45"/>
      <c r="P222" s="43" t="s">
        <v>66</v>
      </c>
      <c r="Q222" s="43" t="s">
        <v>103</v>
      </c>
      <c r="R222" s="35" t="s">
        <v>88</v>
      </c>
      <c r="S222" s="35" t="s">
        <v>89</v>
      </c>
      <c r="T222" s="35" t="s">
        <v>90</v>
      </c>
    </row>
    <row r="223" spans="1:20" ht="43.5" x14ac:dyDescent="0.35">
      <c r="A223" s="43" t="s">
        <v>40</v>
      </c>
      <c r="B223" s="43" t="s">
        <v>365</v>
      </c>
      <c r="C223" s="43">
        <v>4</v>
      </c>
      <c r="D223" s="43" t="s">
        <v>104</v>
      </c>
      <c r="E223" s="43" t="s">
        <v>105</v>
      </c>
      <c r="F223" s="43" t="s">
        <v>83</v>
      </c>
      <c r="G223" s="43" t="s">
        <v>84</v>
      </c>
      <c r="H223" s="43" t="s">
        <v>106</v>
      </c>
      <c r="I223" s="43" t="s">
        <v>107</v>
      </c>
      <c r="J223" s="43" t="s">
        <v>84</v>
      </c>
      <c r="K223" s="43" t="s">
        <v>57</v>
      </c>
      <c r="L223" s="43" t="s">
        <v>58</v>
      </c>
      <c r="M223" s="43" t="s">
        <v>86</v>
      </c>
      <c r="N223" s="43" t="s">
        <v>60</v>
      </c>
      <c r="O223" s="45"/>
      <c r="P223" s="43" t="s">
        <v>66</v>
      </c>
      <c r="Q223" s="43" t="s">
        <v>108</v>
      </c>
      <c r="R223" s="35" t="s">
        <v>88</v>
      </c>
      <c r="S223" s="35" t="s">
        <v>89</v>
      </c>
      <c r="T223" s="35" t="s">
        <v>90</v>
      </c>
    </row>
    <row r="224" spans="1:20" ht="43.5" x14ac:dyDescent="0.35">
      <c r="A224" s="46" t="s">
        <v>40</v>
      </c>
      <c r="B224" s="46" t="s">
        <v>365</v>
      </c>
      <c r="C224" s="46">
        <v>5</v>
      </c>
      <c r="D224" s="46" t="s">
        <v>109</v>
      </c>
      <c r="E224" s="46" t="s">
        <v>105</v>
      </c>
      <c r="F224" s="46" t="s">
        <v>110</v>
      </c>
      <c r="G224" s="46" t="s">
        <v>84</v>
      </c>
      <c r="H224" s="46" t="s">
        <v>111</v>
      </c>
      <c r="I224" s="46" t="s">
        <v>53</v>
      </c>
      <c r="J224" s="46" t="s">
        <v>84</v>
      </c>
      <c r="K224" s="46" t="s">
        <v>57</v>
      </c>
      <c r="L224" s="46" t="s">
        <v>58</v>
      </c>
      <c r="M224" s="46" t="s">
        <v>86</v>
      </c>
      <c r="N224" s="46" t="s">
        <v>60</v>
      </c>
      <c r="O224" s="47"/>
      <c r="P224" s="46" t="s">
        <v>66</v>
      </c>
      <c r="Q224" s="46" t="s">
        <v>112</v>
      </c>
      <c r="R224" s="35" t="s">
        <v>88</v>
      </c>
      <c r="S224" s="35" t="s">
        <v>89</v>
      </c>
      <c r="T224" s="35" t="s">
        <v>90</v>
      </c>
    </row>
    <row r="225" spans="1:20" ht="43.5" x14ac:dyDescent="0.35">
      <c r="A225" s="38" t="s">
        <v>371</v>
      </c>
      <c r="B225" s="39" t="s">
        <v>372</v>
      </c>
      <c r="C225" s="38">
        <v>1</v>
      </c>
      <c r="D225" s="38" t="s">
        <v>373</v>
      </c>
      <c r="E225" s="38" t="s">
        <v>47</v>
      </c>
      <c r="F225" s="38" t="s">
        <v>83</v>
      </c>
      <c r="G225" s="38" t="s">
        <v>84</v>
      </c>
      <c r="H225" s="38" t="s">
        <v>85</v>
      </c>
      <c r="I225" s="38" t="s">
        <v>53</v>
      </c>
      <c r="J225" s="38" t="s">
        <v>84</v>
      </c>
      <c r="K225" s="38" t="s">
        <v>57</v>
      </c>
      <c r="L225" s="38" t="s">
        <v>58</v>
      </c>
      <c r="M225" s="38" t="s">
        <v>86</v>
      </c>
      <c r="N225" s="38" t="s">
        <v>60</v>
      </c>
      <c r="O225" s="40"/>
      <c r="P225" s="38" t="s">
        <v>66</v>
      </c>
      <c r="Q225" s="38" t="s">
        <v>87</v>
      </c>
      <c r="R225" s="35" t="s">
        <v>88</v>
      </c>
      <c r="S225" s="35" t="s">
        <v>89</v>
      </c>
      <c r="T225" s="35" t="s">
        <v>90</v>
      </c>
    </row>
    <row r="226" spans="1:20" ht="43.5" x14ac:dyDescent="0.35">
      <c r="A226" s="38" t="s">
        <v>371</v>
      </c>
      <c r="B226" s="38" t="s">
        <v>372</v>
      </c>
      <c r="C226" s="38">
        <v>2</v>
      </c>
      <c r="D226" s="38" t="s">
        <v>184</v>
      </c>
      <c r="E226" s="38" t="s">
        <v>92</v>
      </c>
      <c r="F226" s="38" t="s">
        <v>374</v>
      </c>
      <c r="G226" s="38" t="s">
        <v>94</v>
      </c>
      <c r="H226" s="38" t="s">
        <v>95</v>
      </c>
      <c r="I226" s="38" t="s">
        <v>96</v>
      </c>
      <c r="J226" s="38" t="s">
        <v>97</v>
      </c>
      <c r="K226" s="38" t="s">
        <v>57</v>
      </c>
      <c r="L226" s="38" t="s">
        <v>58</v>
      </c>
      <c r="M226" s="38" t="s">
        <v>86</v>
      </c>
      <c r="N226" s="38" t="s">
        <v>60</v>
      </c>
      <c r="O226" s="40"/>
      <c r="P226" s="38" t="s">
        <v>66</v>
      </c>
      <c r="Q226" s="38" t="s">
        <v>98</v>
      </c>
      <c r="R226" s="35" t="s">
        <v>88</v>
      </c>
      <c r="S226" s="35" t="s">
        <v>89</v>
      </c>
      <c r="T226" s="35" t="s">
        <v>90</v>
      </c>
    </row>
    <row r="227" spans="1:20" ht="43.5" x14ac:dyDescent="0.35">
      <c r="A227" s="38" t="s">
        <v>371</v>
      </c>
      <c r="B227" s="38" t="s">
        <v>372</v>
      </c>
      <c r="C227" s="38">
        <v>3</v>
      </c>
      <c r="D227" s="38" t="s">
        <v>359</v>
      </c>
      <c r="E227" s="38" t="s">
        <v>100</v>
      </c>
      <c r="F227" s="38" t="s">
        <v>375</v>
      </c>
      <c r="G227" s="38" t="s">
        <v>84</v>
      </c>
      <c r="H227" s="38" t="s">
        <v>102</v>
      </c>
      <c r="I227" s="38" t="s">
        <v>96</v>
      </c>
      <c r="J227" s="38" t="s">
        <v>84</v>
      </c>
      <c r="K227" s="38" t="s">
        <v>57</v>
      </c>
      <c r="L227" s="38" t="s">
        <v>58</v>
      </c>
      <c r="M227" s="38" t="s">
        <v>86</v>
      </c>
      <c r="N227" s="38" t="s">
        <v>60</v>
      </c>
      <c r="O227" s="40"/>
      <c r="P227" s="38" t="s">
        <v>66</v>
      </c>
      <c r="Q227" s="38" t="s">
        <v>103</v>
      </c>
      <c r="R227" s="35" t="s">
        <v>88</v>
      </c>
      <c r="S227" s="35" t="s">
        <v>89</v>
      </c>
      <c r="T227" s="35" t="s">
        <v>90</v>
      </c>
    </row>
    <row r="228" spans="1:20" ht="43.5" x14ac:dyDescent="0.35">
      <c r="A228" s="38" t="s">
        <v>371</v>
      </c>
      <c r="B228" s="38" t="s">
        <v>372</v>
      </c>
      <c r="C228" s="38">
        <v>4</v>
      </c>
      <c r="D228" s="38" t="s">
        <v>104</v>
      </c>
      <c r="E228" s="38" t="s">
        <v>105</v>
      </c>
      <c r="F228" s="38" t="s">
        <v>83</v>
      </c>
      <c r="G228" s="38" t="s">
        <v>84</v>
      </c>
      <c r="H228" s="38" t="s">
        <v>106</v>
      </c>
      <c r="I228" s="38" t="s">
        <v>107</v>
      </c>
      <c r="J228" s="38" t="s">
        <v>84</v>
      </c>
      <c r="K228" s="38" t="s">
        <v>57</v>
      </c>
      <c r="L228" s="38" t="s">
        <v>58</v>
      </c>
      <c r="M228" s="38" t="s">
        <v>86</v>
      </c>
      <c r="N228" s="38" t="s">
        <v>60</v>
      </c>
      <c r="O228" s="40"/>
      <c r="P228" s="38" t="s">
        <v>66</v>
      </c>
      <c r="Q228" s="38" t="s">
        <v>108</v>
      </c>
      <c r="R228" s="35" t="s">
        <v>88</v>
      </c>
      <c r="S228" s="35" t="s">
        <v>89</v>
      </c>
      <c r="T228" s="35" t="s">
        <v>90</v>
      </c>
    </row>
    <row r="229" spans="1:20" ht="43.5" x14ac:dyDescent="0.35">
      <c r="A229" s="41" t="s">
        <v>371</v>
      </c>
      <c r="B229" s="41" t="s">
        <v>372</v>
      </c>
      <c r="C229" s="41">
        <v>5</v>
      </c>
      <c r="D229" s="41" t="s">
        <v>109</v>
      </c>
      <c r="E229" s="41" t="s">
        <v>105</v>
      </c>
      <c r="F229" s="41" t="s">
        <v>110</v>
      </c>
      <c r="G229" s="41" t="s">
        <v>84</v>
      </c>
      <c r="H229" s="41" t="s">
        <v>111</v>
      </c>
      <c r="I229" s="41" t="s">
        <v>53</v>
      </c>
      <c r="J229" s="41" t="s">
        <v>84</v>
      </c>
      <c r="K229" s="41" t="s">
        <v>57</v>
      </c>
      <c r="L229" s="41" t="s">
        <v>58</v>
      </c>
      <c r="M229" s="41" t="s">
        <v>86</v>
      </c>
      <c r="N229" s="41" t="s">
        <v>60</v>
      </c>
      <c r="O229" s="42"/>
      <c r="P229" s="41" t="s">
        <v>66</v>
      </c>
      <c r="Q229" s="41" t="s">
        <v>112</v>
      </c>
      <c r="R229" s="35" t="s">
        <v>88</v>
      </c>
      <c r="S229" s="35" t="s">
        <v>89</v>
      </c>
      <c r="T229" s="35" t="s">
        <v>90</v>
      </c>
    </row>
    <row r="230" spans="1:20" ht="43.5" x14ac:dyDescent="0.35">
      <c r="A230" s="43" t="s">
        <v>371</v>
      </c>
      <c r="B230" s="44" t="s">
        <v>376</v>
      </c>
      <c r="C230" s="43">
        <v>1</v>
      </c>
      <c r="D230" s="43" t="s">
        <v>377</v>
      </c>
      <c r="E230" s="43" t="s">
        <v>47</v>
      </c>
      <c r="F230" s="43" t="s">
        <v>83</v>
      </c>
      <c r="G230" s="43" t="s">
        <v>84</v>
      </c>
      <c r="H230" s="43" t="s">
        <v>85</v>
      </c>
      <c r="I230" s="43" t="s">
        <v>53</v>
      </c>
      <c r="J230" s="43" t="s">
        <v>84</v>
      </c>
      <c r="K230" s="43" t="s">
        <v>57</v>
      </c>
      <c r="L230" s="43" t="s">
        <v>58</v>
      </c>
      <c r="M230" s="43" t="s">
        <v>86</v>
      </c>
      <c r="N230" s="43" t="s">
        <v>60</v>
      </c>
      <c r="O230" s="45"/>
      <c r="P230" s="43" t="s">
        <v>66</v>
      </c>
      <c r="Q230" s="43" t="s">
        <v>87</v>
      </c>
      <c r="R230" s="35" t="s">
        <v>88</v>
      </c>
      <c r="S230" s="35" t="s">
        <v>89</v>
      </c>
      <c r="T230" s="35" t="s">
        <v>90</v>
      </c>
    </row>
    <row r="231" spans="1:20" ht="43.5" x14ac:dyDescent="0.35">
      <c r="A231" s="43" t="s">
        <v>371</v>
      </c>
      <c r="B231" s="43" t="s">
        <v>376</v>
      </c>
      <c r="C231" s="43">
        <v>2</v>
      </c>
      <c r="D231" s="43" t="s">
        <v>378</v>
      </c>
      <c r="E231" s="43" t="s">
        <v>92</v>
      </c>
      <c r="F231" s="43" t="s">
        <v>379</v>
      </c>
      <c r="G231" s="43" t="s">
        <v>94</v>
      </c>
      <c r="H231" s="43" t="s">
        <v>95</v>
      </c>
      <c r="I231" s="43" t="s">
        <v>96</v>
      </c>
      <c r="J231" s="43" t="s">
        <v>97</v>
      </c>
      <c r="K231" s="43" t="s">
        <v>57</v>
      </c>
      <c r="L231" s="43" t="s">
        <v>58</v>
      </c>
      <c r="M231" s="43" t="s">
        <v>86</v>
      </c>
      <c r="N231" s="43" t="s">
        <v>60</v>
      </c>
      <c r="O231" s="45"/>
      <c r="P231" s="43" t="s">
        <v>66</v>
      </c>
      <c r="Q231" s="43" t="s">
        <v>98</v>
      </c>
      <c r="R231" s="35" t="s">
        <v>88</v>
      </c>
      <c r="S231" s="35" t="s">
        <v>89</v>
      </c>
      <c r="T231" s="35" t="s">
        <v>90</v>
      </c>
    </row>
    <row r="232" spans="1:20" ht="43.5" x14ac:dyDescent="0.35">
      <c r="A232" s="43" t="s">
        <v>371</v>
      </c>
      <c r="B232" s="43" t="s">
        <v>376</v>
      </c>
      <c r="C232" s="43">
        <v>3</v>
      </c>
      <c r="D232" s="43" t="s">
        <v>380</v>
      </c>
      <c r="E232" s="43" t="s">
        <v>100</v>
      </c>
      <c r="F232" s="43" t="s">
        <v>381</v>
      </c>
      <c r="G232" s="43" t="s">
        <v>84</v>
      </c>
      <c r="H232" s="43" t="s">
        <v>102</v>
      </c>
      <c r="I232" s="43" t="s">
        <v>96</v>
      </c>
      <c r="J232" s="43" t="s">
        <v>84</v>
      </c>
      <c r="K232" s="43" t="s">
        <v>57</v>
      </c>
      <c r="L232" s="43" t="s">
        <v>58</v>
      </c>
      <c r="M232" s="43" t="s">
        <v>86</v>
      </c>
      <c r="N232" s="43" t="s">
        <v>60</v>
      </c>
      <c r="O232" s="45"/>
      <c r="P232" s="43" t="s">
        <v>66</v>
      </c>
      <c r="Q232" s="43" t="s">
        <v>103</v>
      </c>
      <c r="R232" s="35" t="s">
        <v>88</v>
      </c>
      <c r="S232" s="35" t="s">
        <v>89</v>
      </c>
      <c r="T232" s="35" t="s">
        <v>90</v>
      </c>
    </row>
    <row r="233" spans="1:20" ht="43.5" x14ac:dyDescent="0.35">
      <c r="A233" s="43" t="s">
        <v>371</v>
      </c>
      <c r="B233" s="43" t="s">
        <v>376</v>
      </c>
      <c r="C233" s="43">
        <v>4</v>
      </c>
      <c r="D233" s="43" t="s">
        <v>104</v>
      </c>
      <c r="E233" s="43" t="s">
        <v>105</v>
      </c>
      <c r="F233" s="43" t="s">
        <v>83</v>
      </c>
      <c r="G233" s="43" t="s">
        <v>84</v>
      </c>
      <c r="H233" s="43" t="s">
        <v>106</v>
      </c>
      <c r="I233" s="43" t="s">
        <v>107</v>
      </c>
      <c r="J233" s="43" t="s">
        <v>84</v>
      </c>
      <c r="K233" s="43" t="s">
        <v>57</v>
      </c>
      <c r="L233" s="43" t="s">
        <v>58</v>
      </c>
      <c r="M233" s="43" t="s">
        <v>86</v>
      </c>
      <c r="N233" s="43" t="s">
        <v>60</v>
      </c>
      <c r="O233" s="45"/>
      <c r="P233" s="43" t="s">
        <v>66</v>
      </c>
      <c r="Q233" s="43" t="s">
        <v>108</v>
      </c>
      <c r="R233" s="35" t="s">
        <v>88</v>
      </c>
      <c r="S233" s="35" t="s">
        <v>89</v>
      </c>
      <c r="T233" s="35" t="s">
        <v>90</v>
      </c>
    </row>
    <row r="234" spans="1:20" ht="43.5" x14ac:dyDescent="0.35">
      <c r="A234" s="46" t="s">
        <v>371</v>
      </c>
      <c r="B234" s="46" t="s">
        <v>376</v>
      </c>
      <c r="C234" s="46">
        <v>5</v>
      </c>
      <c r="D234" s="46" t="s">
        <v>109</v>
      </c>
      <c r="E234" s="46" t="s">
        <v>105</v>
      </c>
      <c r="F234" s="46" t="s">
        <v>110</v>
      </c>
      <c r="G234" s="46" t="s">
        <v>84</v>
      </c>
      <c r="H234" s="46" t="s">
        <v>111</v>
      </c>
      <c r="I234" s="46" t="s">
        <v>53</v>
      </c>
      <c r="J234" s="46" t="s">
        <v>84</v>
      </c>
      <c r="K234" s="46" t="s">
        <v>57</v>
      </c>
      <c r="L234" s="46" t="s">
        <v>58</v>
      </c>
      <c r="M234" s="46" t="s">
        <v>86</v>
      </c>
      <c r="N234" s="46" t="s">
        <v>60</v>
      </c>
      <c r="O234" s="47"/>
      <c r="P234" s="46" t="s">
        <v>66</v>
      </c>
      <c r="Q234" s="46" t="s">
        <v>112</v>
      </c>
      <c r="R234" s="35" t="s">
        <v>88</v>
      </c>
      <c r="S234" s="35" t="s">
        <v>89</v>
      </c>
      <c r="T234" s="35" t="s">
        <v>90</v>
      </c>
    </row>
    <row r="235" spans="1:20" ht="43.5" x14ac:dyDescent="0.35">
      <c r="A235" s="38" t="s">
        <v>371</v>
      </c>
      <c r="B235" s="39" t="s">
        <v>382</v>
      </c>
      <c r="C235" s="38">
        <v>1</v>
      </c>
      <c r="D235" s="38" t="s">
        <v>383</v>
      </c>
      <c r="E235" s="38" t="s">
        <v>47</v>
      </c>
      <c r="F235" s="38" t="s">
        <v>83</v>
      </c>
      <c r="G235" s="38" t="s">
        <v>84</v>
      </c>
      <c r="H235" s="38" t="s">
        <v>85</v>
      </c>
      <c r="I235" s="38" t="s">
        <v>53</v>
      </c>
      <c r="J235" s="38" t="s">
        <v>84</v>
      </c>
      <c r="K235" s="38" t="s">
        <v>57</v>
      </c>
      <c r="L235" s="38" t="s">
        <v>58</v>
      </c>
      <c r="M235" s="38" t="s">
        <v>86</v>
      </c>
      <c r="N235" s="38" t="s">
        <v>60</v>
      </c>
      <c r="O235" s="40"/>
      <c r="P235" s="38" t="s">
        <v>66</v>
      </c>
      <c r="Q235" s="38" t="s">
        <v>87</v>
      </c>
      <c r="R235" s="35" t="s">
        <v>88</v>
      </c>
      <c r="S235" s="35" t="s">
        <v>89</v>
      </c>
      <c r="T235" s="35" t="s">
        <v>90</v>
      </c>
    </row>
    <row r="236" spans="1:20" ht="43.5" x14ac:dyDescent="0.35">
      <c r="A236" s="38" t="s">
        <v>371</v>
      </c>
      <c r="B236" s="38" t="s">
        <v>382</v>
      </c>
      <c r="C236" s="38">
        <v>2</v>
      </c>
      <c r="D236" s="38" t="s">
        <v>384</v>
      </c>
      <c r="E236" s="38" t="s">
        <v>92</v>
      </c>
      <c r="F236" s="38" t="s">
        <v>385</v>
      </c>
      <c r="G236" s="38" t="s">
        <v>94</v>
      </c>
      <c r="H236" s="38" t="s">
        <v>95</v>
      </c>
      <c r="I236" s="38" t="s">
        <v>96</v>
      </c>
      <c r="J236" s="38" t="s">
        <v>97</v>
      </c>
      <c r="K236" s="38" t="s">
        <v>57</v>
      </c>
      <c r="L236" s="38" t="s">
        <v>58</v>
      </c>
      <c r="M236" s="38" t="s">
        <v>86</v>
      </c>
      <c r="N236" s="38" t="s">
        <v>60</v>
      </c>
      <c r="O236" s="40"/>
      <c r="P236" s="38" t="s">
        <v>66</v>
      </c>
      <c r="Q236" s="38" t="s">
        <v>98</v>
      </c>
      <c r="R236" s="35" t="s">
        <v>88</v>
      </c>
      <c r="S236" s="35" t="s">
        <v>89</v>
      </c>
      <c r="T236" s="35" t="s">
        <v>90</v>
      </c>
    </row>
    <row r="237" spans="1:20" ht="43.5" x14ac:dyDescent="0.35">
      <c r="A237" s="38" t="s">
        <v>371</v>
      </c>
      <c r="B237" s="38" t="s">
        <v>382</v>
      </c>
      <c r="C237" s="38">
        <v>3</v>
      </c>
      <c r="D237" s="38" t="s">
        <v>129</v>
      </c>
      <c r="E237" s="38" t="s">
        <v>100</v>
      </c>
      <c r="F237" s="38" t="s">
        <v>385</v>
      </c>
      <c r="G237" s="38" t="s">
        <v>84</v>
      </c>
      <c r="H237" s="38" t="s">
        <v>102</v>
      </c>
      <c r="I237" s="38" t="s">
        <v>96</v>
      </c>
      <c r="J237" s="38" t="s">
        <v>84</v>
      </c>
      <c r="K237" s="38" t="s">
        <v>57</v>
      </c>
      <c r="L237" s="38" t="s">
        <v>58</v>
      </c>
      <c r="M237" s="38" t="s">
        <v>86</v>
      </c>
      <c r="N237" s="38" t="s">
        <v>60</v>
      </c>
      <c r="O237" s="40"/>
      <c r="P237" s="38" t="s">
        <v>66</v>
      </c>
      <c r="Q237" s="38" t="s">
        <v>103</v>
      </c>
      <c r="R237" s="35" t="s">
        <v>88</v>
      </c>
      <c r="S237" s="35" t="s">
        <v>89</v>
      </c>
      <c r="T237" s="35" t="s">
        <v>90</v>
      </c>
    </row>
    <row r="238" spans="1:20" ht="43.5" x14ac:dyDescent="0.35">
      <c r="A238" s="38" t="s">
        <v>371</v>
      </c>
      <c r="B238" s="38" t="s">
        <v>382</v>
      </c>
      <c r="C238" s="38">
        <v>4</v>
      </c>
      <c r="D238" s="38" t="s">
        <v>104</v>
      </c>
      <c r="E238" s="38" t="s">
        <v>105</v>
      </c>
      <c r="F238" s="38" t="s">
        <v>83</v>
      </c>
      <c r="G238" s="38" t="s">
        <v>84</v>
      </c>
      <c r="H238" s="38" t="s">
        <v>106</v>
      </c>
      <c r="I238" s="38" t="s">
        <v>107</v>
      </c>
      <c r="J238" s="38" t="s">
        <v>84</v>
      </c>
      <c r="K238" s="38" t="s">
        <v>57</v>
      </c>
      <c r="L238" s="38" t="s">
        <v>58</v>
      </c>
      <c r="M238" s="38" t="s">
        <v>86</v>
      </c>
      <c r="N238" s="38" t="s">
        <v>60</v>
      </c>
      <c r="O238" s="40"/>
      <c r="P238" s="38" t="s">
        <v>66</v>
      </c>
      <c r="Q238" s="38" t="s">
        <v>108</v>
      </c>
      <c r="R238" s="35" t="s">
        <v>88</v>
      </c>
      <c r="S238" s="35" t="s">
        <v>89</v>
      </c>
      <c r="T238" s="35" t="s">
        <v>90</v>
      </c>
    </row>
    <row r="239" spans="1:20" ht="43.5" x14ac:dyDescent="0.35">
      <c r="A239" s="41" t="s">
        <v>371</v>
      </c>
      <c r="B239" s="41" t="s">
        <v>382</v>
      </c>
      <c r="C239" s="41">
        <v>5</v>
      </c>
      <c r="D239" s="41" t="s">
        <v>109</v>
      </c>
      <c r="E239" s="41" t="s">
        <v>105</v>
      </c>
      <c r="F239" s="41" t="s">
        <v>110</v>
      </c>
      <c r="G239" s="41" t="s">
        <v>84</v>
      </c>
      <c r="H239" s="41" t="s">
        <v>111</v>
      </c>
      <c r="I239" s="41" t="s">
        <v>53</v>
      </c>
      <c r="J239" s="41" t="s">
        <v>84</v>
      </c>
      <c r="K239" s="41" t="s">
        <v>57</v>
      </c>
      <c r="L239" s="41" t="s">
        <v>58</v>
      </c>
      <c r="M239" s="41" t="s">
        <v>86</v>
      </c>
      <c r="N239" s="41" t="s">
        <v>60</v>
      </c>
      <c r="O239" s="42"/>
      <c r="P239" s="41" t="s">
        <v>66</v>
      </c>
      <c r="Q239" s="41" t="s">
        <v>112</v>
      </c>
      <c r="R239" s="35" t="s">
        <v>88</v>
      </c>
      <c r="S239" s="35" t="s">
        <v>89</v>
      </c>
      <c r="T239" s="35" t="s">
        <v>90</v>
      </c>
    </row>
    <row r="240" spans="1:20" ht="43.5" x14ac:dyDescent="0.35">
      <c r="A240" s="43" t="s">
        <v>371</v>
      </c>
      <c r="B240" s="44" t="s">
        <v>386</v>
      </c>
      <c r="C240" s="43">
        <v>1</v>
      </c>
      <c r="D240" s="43" t="s">
        <v>387</v>
      </c>
      <c r="E240" s="43" t="s">
        <v>47</v>
      </c>
      <c r="F240" s="43" t="s">
        <v>83</v>
      </c>
      <c r="G240" s="43" t="s">
        <v>84</v>
      </c>
      <c r="H240" s="43" t="s">
        <v>85</v>
      </c>
      <c r="I240" s="43" t="s">
        <v>53</v>
      </c>
      <c r="J240" s="43" t="s">
        <v>84</v>
      </c>
      <c r="K240" s="43" t="s">
        <v>57</v>
      </c>
      <c r="L240" s="43" t="s">
        <v>58</v>
      </c>
      <c r="M240" s="43" t="s">
        <v>86</v>
      </c>
      <c r="N240" s="43" t="s">
        <v>60</v>
      </c>
      <c r="O240" s="45"/>
      <c r="P240" s="43" t="s">
        <v>66</v>
      </c>
      <c r="Q240" s="43" t="s">
        <v>87</v>
      </c>
      <c r="R240" s="35" t="s">
        <v>88</v>
      </c>
      <c r="S240" s="35" t="s">
        <v>89</v>
      </c>
      <c r="T240" s="35" t="s">
        <v>90</v>
      </c>
    </row>
    <row r="241" spans="1:20" ht="43.5" x14ac:dyDescent="0.35">
      <c r="A241" s="43" t="s">
        <v>371</v>
      </c>
      <c r="B241" s="43" t="s">
        <v>386</v>
      </c>
      <c r="C241" s="43">
        <v>2</v>
      </c>
      <c r="D241" s="43" t="s">
        <v>388</v>
      </c>
      <c r="E241" s="43" t="s">
        <v>92</v>
      </c>
      <c r="F241" s="43" t="s">
        <v>389</v>
      </c>
      <c r="G241" s="43" t="s">
        <v>94</v>
      </c>
      <c r="H241" s="43" t="s">
        <v>95</v>
      </c>
      <c r="I241" s="43" t="s">
        <v>96</v>
      </c>
      <c r="J241" s="43" t="s">
        <v>97</v>
      </c>
      <c r="K241" s="43" t="s">
        <v>57</v>
      </c>
      <c r="L241" s="43" t="s">
        <v>58</v>
      </c>
      <c r="M241" s="43" t="s">
        <v>86</v>
      </c>
      <c r="N241" s="43" t="s">
        <v>60</v>
      </c>
      <c r="O241" s="45"/>
      <c r="P241" s="43" t="s">
        <v>66</v>
      </c>
      <c r="Q241" s="43" t="s">
        <v>98</v>
      </c>
      <c r="R241" s="35" t="s">
        <v>88</v>
      </c>
      <c r="S241" s="35" t="s">
        <v>89</v>
      </c>
      <c r="T241" s="35" t="s">
        <v>90</v>
      </c>
    </row>
    <row r="242" spans="1:20" ht="43.5" x14ac:dyDescent="0.35">
      <c r="A242" s="43" t="s">
        <v>371</v>
      </c>
      <c r="B242" s="43" t="s">
        <v>386</v>
      </c>
      <c r="C242" s="43">
        <v>3</v>
      </c>
      <c r="D242" s="43" t="s">
        <v>390</v>
      </c>
      <c r="E242" s="43" t="s">
        <v>100</v>
      </c>
      <c r="F242" s="43" t="s">
        <v>391</v>
      </c>
      <c r="G242" s="43" t="s">
        <v>84</v>
      </c>
      <c r="H242" s="43" t="s">
        <v>102</v>
      </c>
      <c r="I242" s="43" t="s">
        <v>96</v>
      </c>
      <c r="J242" s="43" t="s">
        <v>84</v>
      </c>
      <c r="K242" s="43" t="s">
        <v>57</v>
      </c>
      <c r="L242" s="43" t="s">
        <v>58</v>
      </c>
      <c r="M242" s="43" t="s">
        <v>86</v>
      </c>
      <c r="N242" s="43" t="s">
        <v>60</v>
      </c>
      <c r="O242" s="45"/>
      <c r="P242" s="43" t="s">
        <v>66</v>
      </c>
      <c r="Q242" s="43" t="s">
        <v>103</v>
      </c>
      <c r="R242" s="35" t="s">
        <v>88</v>
      </c>
      <c r="S242" s="35" t="s">
        <v>89</v>
      </c>
      <c r="T242" s="35" t="s">
        <v>90</v>
      </c>
    </row>
    <row r="243" spans="1:20" ht="43.5" x14ac:dyDescent="0.35">
      <c r="A243" s="43" t="s">
        <v>371</v>
      </c>
      <c r="B243" s="43" t="s">
        <v>386</v>
      </c>
      <c r="C243" s="43">
        <v>4</v>
      </c>
      <c r="D243" s="43" t="s">
        <v>104</v>
      </c>
      <c r="E243" s="43" t="s">
        <v>105</v>
      </c>
      <c r="F243" s="43" t="s">
        <v>83</v>
      </c>
      <c r="G243" s="43" t="s">
        <v>84</v>
      </c>
      <c r="H243" s="43" t="s">
        <v>106</v>
      </c>
      <c r="I243" s="43" t="s">
        <v>107</v>
      </c>
      <c r="J243" s="43" t="s">
        <v>84</v>
      </c>
      <c r="K243" s="43" t="s">
        <v>57</v>
      </c>
      <c r="L243" s="43" t="s">
        <v>58</v>
      </c>
      <c r="M243" s="43" t="s">
        <v>86</v>
      </c>
      <c r="N243" s="43" t="s">
        <v>60</v>
      </c>
      <c r="O243" s="45"/>
      <c r="P243" s="43" t="s">
        <v>66</v>
      </c>
      <c r="Q243" s="43" t="s">
        <v>108</v>
      </c>
      <c r="R243" s="35" t="s">
        <v>88</v>
      </c>
      <c r="S243" s="35" t="s">
        <v>89</v>
      </c>
      <c r="T243" s="35" t="s">
        <v>90</v>
      </c>
    </row>
    <row r="244" spans="1:20" ht="43.5" x14ac:dyDescent="0.35">
      <c r="A244" s="46" t="s">
        <v>371</v>
      </c>
      <c r="B244" s="46" t="s">
        <v>386</v>
      </c>
      <c r="C244" s="46">
        <v>5</v>
      </c>
      <c r="D244" s="46" t="s">
        <v>109</v>
      </c>
      <c r="E244" s="46" t="s">
        <v>105</v>
      </c>
      <c r="F244" s="46" t="s">
        <v>110</v>
      </c>
      <c r="G244" s="46" t="s">
        <v>84</v>
      </c>
      <c r="H244" s="46" t="s">
        <v>111</v>
      </c>
      <c r="I244" s="46" t="s">
        <v>53</v>
      </c>
      <c r="J244" s="46" t="s">
        <v>84</v>
      </c>
      <c r="K244" s="46" t="s">
        <v>57</v>
      </c>
      <c r="L244" s="46" t="s">
        <v>58</v>
      </c>
      <c r="M244" s="46" t="s">
        <v>86</v>
      </c>
      <c r="N244" s="46" t="s">
        <v>60</v>
      </c>
      <c r="O244" s="47"/>
      <c r="P244" s="46" t="s">
        <v>66</v>
      </c>
      <c r="Q244" s="46" t="s">
        <v>112</v>
      </c>
      <c r="R244" s="35" t="s">
        <v>88</v>
      </c>
      <c r="S244" s="35" t="s">
        <v>89</v>
      </c>
      <c r="T244" s="35" t="s">
        <v>90</v>
      </c>
    </row>
    <row r="245" spans="1:20" ht="43.5" x14ac:dyDescent="0.35">
      <c r="A245" s="38" t="s">
        <v>371</v>
      </c>
      <c r="B245" s="39" t="s">
        <v>392</v>
      </c>
      <c r="C245" s="38">
        <v>1</v>
      </c>
      <c r="D245" s="38" t="s">
        <v>393</v>
      </c>
      <c r="E245" s="38" t="s">
        <v>47</v>
      </c>
      <c r="F245" s="38" t="s">
        <v>83</v>
      </c>
      <c r="G245" s="38" t="s">
        <v>84</v>
      </c>
      <c r="H245" s="38" t="s">
        <v>85</v>
      </c>
      <c r="I245" s="38" t="s">
        <v>53</v>
      </c>
      <c r="J245" s="38" t="s">
        <v>84</v>
      </c>
      <c r="K245" s="38" t="s">
        <v>57</v>
      </c>
      <c r="L245" s="38" t="s">
        <v>58</v>
      </c>
      <c r="M245" s="38" t="s">
        <v>86</v>
      </c>
      <c r="N245" s="38" t="s">
        <v>60</v>
      </c>
      <c r="O245" s="40"/>
      <c r="P245" s="38" t="s">
        <v>66</v>
      </c>
      <c r="Q245" s="38" t="s">
        <v>87</v>
      </c>
      <c r="R245" s="35" t="s">
        <v>88</v>
      </c>
      <c r="S245" s="35" t="s">
        <v>89</v>
      </c>
      <c r="T245" s="35" t="s">
        <v>90</v>
      </c>
    </row>
    <row r="246" spans="1:20" ht="43.5" x14ac:dyDescent="0.35">
      <c r="A246" s="38" t="s">
        <v>371</v>
      </c>
      <c r="B246" s="38" t="s">
        <v>392</v>
      </c>
      <c r="C246" s="38">
        <v>2</v>
      </c>
      <c r="D246" s="38" t="s">
        <v>394</v>
      </c>
      <c r="E246" s="38" t="s">
        <v>92</v>
      </c>
      <c r="F246" s="38" t="s">
        <v>395</v>
      </c>
      <c r="G246" s="38" t="s">
        <v>94</v>
      </c>
      <c r="H246" s="38" t="s">
        <v>95</v>
      </c>
      <c r="I246" s="38" t="s">
        <v>96</v>
      </c>
      <c r="J246" s="38" t="s">
        <v>97</v>
      </c>
      <c r="K246" s="38" t="s">
        <v>57</v>
      </c>
      <c r="L246" s="38" t="s">
        <v>58</v>
      </c>
      <c r="M246" s="38" t="s">
        <v>86</v>
      </c>
      <c r="N246" s="38" t="s">
        <v>60</v>
      </c>
      <c r="O246" s="40"/>
      <c r="P246" s="38" t="s">
        <v>66</v>
      </c>
      <c r="Q246" s="38" t="s">
        <v>98</v>
      </c>
      <c r="R246" s="35" t="s">
        <v>88</v>
      </c>
      <c r="S246" s="35" t="s">
        <v>89</v>
      </c>
      <c r="T246" s="35" t="s">
        <v>90</v>
      </c>
    </row>
    <row r="247" spans="1:20" ht="43.5" x14ac:dyDescent="0.35">
      <c r="A247" s="38" t="s">
        <v>371</v>
      </c>
      <c r="B247" s="38" t="s">
        <v>392</v>
      </c>
      <c r="C247" s="38">
        <v>3</v>
      </c>
      <c r="D247" s="38" t="s">
        <v>129</v>
      </c>
      <c r="E247" s="38" t="s">
        <v>100</v>
      </c>
      <c r="F247" s="38" t="s">
        <v>396</v>
      </c>
      <c r="G247" s="38" t="s">
        <v>84</v>
      </c>
      <c r="H247" s="38" t="s">
        <v>102</v>
      </c>
      <c r="I247" s="38" t="s">
        <v>96</v>
      </c>
      <c r="J247" s="38" t="s">
        <v>84</v>
      </c>
      <c r="K247" s="38" t="s">
        <v>57</v>
      </c>
      <c r="L247" s="38" t="s">
        <v>58</v>
      </c>
      <c r="M247" s="38" t="s">
        <v>86</v>
      </c>
      <c r="N247" s="38" t="s">
        <v>60</v>
      </c>
      <c r="O247" s="40"/>
      <c r="P247" s="38" t="s">
        <v>66</v>
      </c>
      <c r="Q247" s="38" t="s">
        <v>103</v>
      </c>
      <c r="R247" s="35" t="s">
        <v>88</v>
      </c>
      <c r="S247" s="35" t="s">
        <v>89</v>
      </c>
      <c r="T247" s="35" t="s">
        <v>90</v>
      </c>
    </row>
    <row r="248" spans="1:20" ht="43.5" x14ac:dyDescent="0.35">
      <c r="A248" s="38" t="s">
        <v>371</v>
      </c>
      <c r="B248" s="38" t="s">
        <v>392</v>
      </c>
      <c r="C248" s="38">
        <v>4</v>
      </c>
      <c r="D248" s="38" t="s">
        <v>104</v>
      </c>
      <c r="E248" s="38" t="s">
        <v>105</v>
      </c>
      <c r="F248" s="38" t="s">
        <v>83</v>
      </c>
      <c r="G248" s="38" t="s">
        <v>84</v>
      </c>
      <c r="H248" s="38" t="s">
        <v>106</v>
      </c>
      <c r="I248" s="38" t="s">
        <v>107</v>
      </c>
      <c r="J248" s="38" t="s">
        <v>84</v>
      </c>
      <c r="K248" s="38" t="s">
        <v>57</v>
      </c>
      <c r="L248" s="38" t="s">
        <v>58</v>
      </c>
      <c r="M248" s="38" t="s">
        <v>86</v>
      </c>
      <c r="N248" s="38" t="s">
        <v>60</v>
      </c>
      <c r="O248" s="40"/>
      <c r="P248" s="38" t="s">
        <v>66</v>
      </c>
      <c r="Q248" s="38" t="s">
        <v>108</v>
      </c>
      <c r="R248" s="35" t="s">
        <v>88</v>
      </c>
      <c r="S248" s="35" t="s">
        <v>89</v>
      </c>
      <c r="T248" s="35" t="s">
        <v>90</v>
      </c>
    </row>
    <row r="249" spans="1:20" ht="43.5" x14ac:dyDescent="0.35">
      <c r="A249" s="41" t="s">
        <v>371</v>
      </c>
      <c r="B249" s="41" t="s">
        <v>392</v>
      </c>
      <c r="C249" s="41">
        <v>5</v>
      </c>
      <c r="D249" s="41" t="s">
        <v>109</v>
      </c>
      <c r="E249" s="41" t="s">
        <v>105</v>
      </c>
      <c r="F249" s="41" t="s">
        <v>110</v>
      </c>
      <c r="G249" s="41" t="s">
        <v>84</v>
      </c>
      <c r="H249" s="41" t="s">
        <v>111</v>
      </c>
      <c r="I249" s="41" t="s">
        <v>53</v>
      </c>
      <c r="J249" s="41" t="s">
        <v>84</v>
      </c>
      <c r="K249" s="41" t="s">
        <v>57</v>
      </c>
      <c r="L249" s="41" t="s">
        <v>58</v>
      </c>
      <c r="M249" s="41" t="s">
        <v>86</v>
      </c>
      <c r="N249" s="41" t="s">
        <v>60</v>
      </c>
      <c r="O249" s="42"/>
      <c r="P249" s="41" t="s">
        <v>66</v>
      </c>
      <c r="Q249" s="41" t="s">
        <v>112</v>
      </c>
      <c r="R249" s="35" t="s">
        <v>88</v>
      </c>
      <c r="S249" s="35" t="s">
        <v>89</v>
      </c>
      <c r="T249" s="35" t="s">
        <v>90</v>
      </c>
    </row>
    <row r="250" spans="1:20" ht="43.5" x14ac:dyDescent="0.35">
      <c r="A250" s="43" t="s">
        <v>371</v>
      </c>
      <c r="B250" s="44" t="s">
        <v>397</v>
      </c>
      <c r="C250" s="43">
        <v>1</v>
      </c>
      <c r="D250" s="43" t="s">
        <v>398</v>
      </c>
      <c r="E250" s="43" t="s">
        <v>47</v>
      </c>
      <c r="F250" s="43" t="s">
        <v>83</v>
      </c>
      <c r="G250" s="43" t="s">
        <v>84</v>
      </c>
      <c r="H250" s="43" t="s">
        <v>85</v>
      </c>
      <c r="I250" s="43" t="s">
        <v>53</v>
      </c>
      <c r="J250" s="43" t="s">
        <v>84</v>
      </c>
      <c r="K250" s="43" t="s">
        <v>57</v>
      </c>
      <c r="L250" s="43" t="s">
        <v>58</v>
      </c>
      <c r="M250" s="43" t="s">
        <v>86</v>
      </c>
      <c r="N250" s="43" t="s">
        <v>60</v>
      </c>
      <c r="O250" s="45"/>
      <c r="P250" s="43" t="s">
        <v>66</v>
      </c>
      <c r="Q250" s="43" t="s">
        <v>87</v>
      </c>
      <c r="R250" s="35" t="s">
        <v>88</v>
      </c>
      <c r="S250" s="35" t="s">
        <v>89</v>
      </c>
      <c r="T250" s="35" t="s">
        <v>90</v>
      </c>
    </row>
    <row r="251" spans="1:20" ht="43.5" x14ac:dyDescent="0.35">
      <c r="A251" s="43" t="s">
        <v>371</v>
      </c>
      <c r="B251" s="43" t="s">
        <v>397</v>
      </c>
      <c r="C251" s="43">
        <v>2</v>
      </c>
      <c r="D251" s="43" t="s">
        <v>184</v>
      </c>
      <c r="E251" s="43" t="s">
        <v>92</v>
      </c>
      <c r="F251" s="43" t="s">
        <v>399</v>
      </c>
      <c r="G251" s="43" t="s">
        <v>94</v>
      </c>
      <c r="H251" s="43" t="s">
        <v>95</v>
      </c>
      <c r="I251" s="43" t="s">
        <v>96</v>
      </c>
      <c r="J251" s="43" t="s">
        <v>97</v>
      </c>
      <c r="K251" s="43" t="s">
        <v>57</v>
      </c>
      <c r="L251" s="43" t="s">
        <v>58</v>
      </c>
      <c r="M251" s="43" t="s">
        <v>86</v>
      </c>
      <c r="N251" s="43" t="s">
        <v>60</v>
      </c>
      <c r="O251" s="45"/>
      <c r="P251" s="43" t="s">
        <v>66</v>
      </c>
      <c r="Q251" s="43" t="s">
        <v>98</v>
      </c>
      <c r="R251" s="35" t="s">
        <v>88</v>
      </c>
      <c r="S251" s="35" t="s">
        <v>89</v>
      </c>
      <c r="T251" s="35" t="s">
        <v>90</v>
      </c>
    </row>
    <row r="252" spans="1:20" ht="43.5" x14ac:dyDescent="0.35">
      <c r="A252" s="43" t="s">
        <v>371</v>
      </c>
      <c r="B252" s="43" t="s">
        <v>397</v>
      </c>
      <c r="C252" s="43">
        <v>3</v>
      </c>
      <c r="D252" s="43" t="s">
        <v>99</v>
      </c>
      <c r="E252" s="43" t="s">
        <v>100</v>
      </c>
      <c r="F252" s="43" t="s">
        <v>400</v>
      </c>
      <c r="G252" s="43" t="s">
        <v>84</v>
      </c>
      <c r="H252" s="43" t="s">
        <v>102</v>
      </c>
      <c r="I252" s="43" t="s">
        <v>96</v>
      </c>
      <c r="J252" s="43" t="s">
        <v>84</v>
      </c>
      <c r="K252" s="43" t="s">
        <v>57</v>
      </c>
      <c r="L252" s="43" t="s">
        <v>58</v>
      </c>
      <c r="M252" s="43" t="s">
        <v>86</v>
      </c>
      <c r="N252" s="43" t="s">
        <v>60</v>
      </c>
      <c r="O252" s="45"/>
      <c r="P252" s="43" t="s">
        <v>66</v>
      </c>
      <c r="Q252" s="43" t="s">
        <v>103</v>
      </c>
      <c r="R252" s="35" t="s">
        <v>88</v>
      </c>
      <c r="S252" s="35" t="s">
        <v>89</v>
      </c>
      <c r="T252" s="35" t="s">
        <v>90</v>
      </c>
    </row>
    <row r="253" spans="1:20" ht="43.5" x14ac:dyDescent="0.35">
      <c r="A253" s="43" t="s">
        <v>371</v>
      </c>
      <c r="B253" s="43" t="s">
        <v>397</v>
      </c>
      <c r="C253" s="43">
        <v>4</v>
      </c>
      <c r="D253" s="43" t="s">
        <v>104</v>
      </c>
      <c r="E253" s="43" t="s">
        <v>105</v>
      </c>
      <c r="F253" s="43" t="s">
        <v>83</v>
      </c>
      <c r="G253" s="43" t="s">
        <v>84</v>
      </c>
      <c r="H253" s="43" t="s">
        <v>106</v>
      </c>
      <c r="I253" s="43" t="s">
        <v>107</v>
      </c>
      <c r="J253" s="43" t="s">
        <v>84</v>
      </c>
      <c r="K253" s="43" t="s">
        <v>57</v>
      </c>
      <c r="L253" s="43" t="s">
        <v>58</v>
      </c>
      <c r="M253" s="43" t="s">
        <v>86</v>
      </c>
      <c r="N253" s="43" t="s">
        <v>60</v>
      </c>
      <c r="O253" s="45"/>
      <c r="P253" s="43" t="s">
        <v>66</v>
      </c>
      <c r="Q253" s="43" t="s">
        <v>108</v>
      </c>
      <c r="R253" s="35" t="s">
        <v>88</v>
      </c>
      <c r="S253" s="35" t="s">
        <v>89</v>
      </c>
      <c r="T253" s="35" t="s">
        <v>90</v>
      </c>
    </row>
    <row r="254" spans="1:20" ht="43.5" x14ac:dyDescent="0.35">
      <c r="A254" s="46" t="s">
        <v>371</v>
      </c>
      <c r="B254" s="46" t="s">
        <v>397</v>
      </c>
      <c r="C254" s="46">
        <v>5</v>
      </c>
      <c r="D254" s="46" t="s">
        <v>109</v>
      </c>
      <c r="E254" s="46" t="s">
        <v>105</v>
      </c>
      <c r="F254" s="46" t="s">
        <v>110</v>
      </c>
      <c r="G254" s="46" t="s">
        <v>84</v>
      </c>
      <c r="H254" s="46" t="s">
        <v>111</v>
      </c>
      <c r="I254" s="46" t="s">
        <v>53</v>
      </c>
      <c r="J254" s="46" t="s">
        <v>84</v>
      </c>
      <c r="K254" s="46" t="s">
        <v>57</v>
      </c>
      <c r="L254" s="46" t="s">
        <v>58</v>
      </c>
      <c r="M254" s="46" t="s">
        <v>86</v>
      </c>
      <c r="N254" s="46" t="s">
        <v>60</v>
      </c>
      <c r="O254" s="47"/>
      <c r="P254" s="46" t="s">
        <v>66</v>
      </c>
      <c r="Q254" s="46" t="s">
        <v>112</v>
      </c>
      <c r="R254" s="35" t="s">
        <v>88</v>
      </c>
      <c r="S254" s="35" t="s">
        <v>89</v>
      </c>
      <c r="T254" s="35" t="s">
        <v>90</v>
      </c>
    </row>
    <row r="255" spans="1:20" ht="43.5" x14ac:dyDescent="0.35">
      <c r="A255" s="38" t="s">
        <v>371</v>
      </c>
      <c r="B255" s="39" t="s">
        <v>401</v>
      </c>
      <c r="C255" s="38">
        <v>1</v>
      </c>
      <c r="D255" s="38" t="s">
        <v>402</v>
      </c>
      <c r="E255" s="38" t="s">
        <v>47</v>
      </c>
      <c r="F255" s="38" t="s">
        <v>83</v>
      </c>
      <c r="G255" s="38" t="s">
        <v>84</v>
      </c>
      <c r="H255" s="38" t="s">
        <v>85</v>
      </c>
      <c r="I255" s="38" t="s">
        <v>53</v>
      </c>
      <c r="J255" s="38" t="s">
        <v>84</v>
      </c>
      <c r="K255" s="38" t="s">
        <v>57</v>
      </c>
      <c r="L255" s="38" t="s">
        <v>58</v>
      </c>
      <c r="M255" s="38" t="s">
        <v>86</v>
      </c>
      <c r="N255" s="38" t="s">
        <v>60</v>
      </c>
      <c r="O255" s="40"/>
      <c r="P255" s="38" t="s">
        <v>66</v>
      </c>
      <c r="Q255" s="38" t="s">
        <v>87</v>
      </c>
      <c r="R255" s="35" t="s">
        <v>88</v>
      </c>
      <c r="S255" s="35" t="s">
        <v>89</v>
      </c>
      <c r="T255" s="35" t="s">
        <v>90</v>
      </c>
    </row>
    <row r="256" spans="1:20" ht="43.5" x14ac:dyDescent="0.35">
      <c r="A256" s="38" t="s">
        <v>371</v>
      </c>
      <c r="B256" s="38" t="s">
        <v>401</v>
      </c>
      <c r="C256" s="38">
        <v>2</v>
      </c>
      <c r="D256" s="38" t="s">
        <v>403</v>
      </c>
      <c r="E256" s="38" t="s">
        <v>92</v>
      </c>
      <c r="F256" s="38" t="s">
        <v>404</v>
      </c>
      <c r="G256" s="38" t="s">
        <v>94</v>
      </c>
      <c r="H256" s="38" t="s">
        <v>95</v>
      </c>
      <c r="I256" s="38" t="s">
        <v>96</v>
      </c>
      <c r="J256" s="38" t="s">
        <v>97</v>
      </c>
      <c r="K256" s="38" t="s">
        <v>57</v>
      </c>
      <c r="L256" s="38" t="s">
        <v>58</v>
      </c>
      <c r="M256" s="38" t="s">
        <v>86</v>
      </c>
      <c r="N256" s="38" t="s">
        <v>60</v>
      </c>
      <c r="O256" s="40"/>
      <c r="P256" s="38" t="s">
        <v>66</v>
      </c>
      <c r="Q256" s="38" t="s">
        <v>98</v>
      </c>
      <c r="R256" s="35" t="s">
        <v>88</v>
      </c>
      <c r="S256" s="35" t="s">
        <v>89</v>
      </c>
      <c r="T256" s="35" t="s">
        <v>90</v>
      </c>
    </row>
    <row r="257" spans="1:20" ht="43.5" x14ac:dyDescent="0.35">
      <c r="A257" s="38" t="s">
        <v>371</v>
      </c>
      <c r="B257" s="38" t="s">
        <v>401</v>
      </c>
      <c r="C257" s="38">
        <v>3</v>
      </c>
      <c r="D257" s="38" t="s">
        <v>405</v>
      </c>
      <c r="E257" s="38" t="s">
        <v>100</v>
      </c>
      <c r="F257" s="38" t="s">
        <v>406</v>
      </c>
      <c r="G257" s="38" t="s">
        <v>84</v>
      </c>
      <c r="H257" s="38" t="s">
        <v>102</v>
      </c>
      <c r="I257" s="38" t="s">
        <v>96</v>
      </c>
      <c r="J257" s="38" t="s">
        <v>84</v>
      </c>
      <c r="K257" s="38" t="s">
        <v>57</v>
      </c>
      <c r="L257" s="38" t="s">
        <v>58</v>
      </c>
      <c r="M257" s="38" t="s">
        <v>86</v>
      </c>
      <c r="N257" s="38" t="s">
        <v>60</v>
      </c>
      <c r="O257" s="40"/>
      <c r="P257" s="38" t="s">
        <v>66</v>
      </c>
      <c r="Q257" s="38" t="s">
        <v>103</v>
      </c>
      <c r="R257" s="35" t="s">
        <v>88</v>
      </c>
      <c r="S257" s="35" t="s">
        <v>89</v>
      </c>
      <c r="T257" s="35" t="s">
        <v>90</v>
      </c>
    </row>
    <row r="258" spans="1:20" ht="43.5" x14ac:dyDescent="0.35">
      <c r="A258" s="38" t="s">
        <v>371</v>
      </c>
      <c r="B258" s="38" t="s">
        <v>401</v>
      </c>
      <c r="C258" s="38">
        <v>4</v>
      </c>
      <c r="D258" s="38" t="s">
        <v>104</v>
      </c>
      <c r="E258" s="38" t="s">
        <v>105</v>
      </c>
      <c r="F258" s="38" t="s">
        <v>83</v>
      </c>
      <c r="G258" s="38" t="s">
        <v>84</v>
      </c>
      <c r="H258" s="38" t="s">
        <v>106</v>
      </c>
      <c r="I258" s="38" t="s">
        <v>107</v>
      </c>
      <c r="J258" s="38" t="s">
        <v>84</v>
      </c>
      <c r="K258" s="38" t="s">
        <v>57</v>
      </c>
      <c r="L258" s="38" t="s">
        <v>58</v>
      </c>
      <c r="M258" s="38" t="s">
        <v>86</v>
      </c>
      <c r="N258" s="38" t="s">
        <v>60</v>
      </c>
      <c r="O258" s="40"/>
      <c r="P258" s="38" t="s">
        <v>66</v>
      </c>
      <c r="Q258" s="38" t="s">
        <v>108</v>
      </c>
      <c r="R258" s="35" t="s">
        <v>88</v>
      </c>
      <c r="S258" s="35" t="s">
        <v>89</v>
      </c>
      <c r="T258" s="35" t="s">
        <v>90</v>
      </c>
    </row>
    <row r="259" spans="1:20" ht="43.5" x14ac:dyDescent="0.35">
      <c r="A259" s="41" t="s">
        <v>371</v>
      </c>
      <c r="B259" s="41" t="s">
        <v>401</v>
      </c>
      <c r="C259" s="41">
        <v>5</v>
      </c>
      <c r="D259" s="41" t="s">
        <v>109</v>
      </c>
      <c r="E259" s="41" t="s">
        <v>105</v>
      </c>
      <c r="F259" s="41" t="s">
        <v>110</v>
      </c>
      <c r="G259" s="41" t="s">
        <v>84</v>
      </c>
      <c r="H259" s="41" t="s">
        <v>111</v>
      </c>
      <c r="I259" s="41" t="s">
        <v>53</v>
      </c>
      <c r="J259" s="41" t="s">
        <v>84</v>
      </c>
      <c r="K259" s="41" t="s">
        <v>57</v>
      </c>
      <c r="L259" s="41" t="s">
        <v>58</v>
      </c>
      <c r="M259" s="41" t="s">
        <v>86</v>
      </c>
      <c r="N259" s="41" t="s">
        <v>60</v>
      </c>
      <c r="O259" s="42"/>
      <c r="P259" s="41" t="s">
        <v>66</v>
      </c>
      <c r="Q259" s="41" t="s">
        <v>112</v>
      </c>
      <c r="R259" s="35" t="s">
        <v>88</v>
      </c>
      <c r="S259" s="35" t="s">
        <v>89</v>
      </c>
      <c r="T259" s="35" t="s">
        <v>90</v>
      </c>
    </row>
    <row r="260" spans="1:20" ht="43.5" x14ac:dyDescent="0.35">
      <c r="A260" s="43" t="s">
        <v>371</v>
      </c>
      <c r="B260" s="44" t="s">
        <v>407</v>
      </c>
      <c r="C260" s="43">
        <v>1</v>
      </c>
      <c r="D260" s="43" t="s">
        <v>408</v>
      </c>
      <c r="E260" s="43" t="s">
        <v>308</v>
      </c>
      <c r="F260" s="43" t="s">
        <v>409</v>
      </c>
      <c r="G260" s="43" t="s">
        <v>49</v>
      </c>
      <c r="H260" s="43" t="s">
        <v>410</v>
      </c>
      <c r="I260" s="43" t="s">
        <v>53</v>
      </c>
      <c r="J260" s="43" t="s">
        <v>55</v>
      </c>
      <c r="K260" s="43" t="s">
        <v>57</v>
      </c>
      <c r="L260" s="43" t="s">
        <v>58</v>
      </c>
      <c r="M260" s="43" t="s">
        <v>86</v>
      </c>
      <c r="N260" s="43" t="s">
        <v>60</v>
      </c>
      <c r="O260" s="45"/>
      <c r="P260" s="43" t="s">
        <v>66</v>
      </c>
      <c r="Q260" s="43" t="s">
        <v>411</v>
      </c>
      <c r="R260" s="35" t="s">
        <v>88</v>
      </c>
      <c r="S260" s="35" t="s">
        <v>89</v>
      </c>
      <c r="T260" s="35" t="s">
        <v>90</v>
      </c>
    </row>
    <row r="261" spans="1:20" ht="43.5" x14ac:dyDescent="0.35">
      <c r="A261" s="43" t="s">
        <v>371</v>
      </c>
      <c r="B261" s="43" t="s">
        <v>407</v>
      </c>
      <c r="C261" s="43">
        <v>2</v>
      </c>
      <c r="D261" s="43" t="s">
        <v>412</v>
      </c>
      <c r="E261" s="43" t="s">
        <v>413</v>
      </c>
      <c r="F261" s="43" t="s">
        <v>414</v>
      </c>
      <c r="G261" s="43" t="s">
        <v>84</v>
      </c>
      <c r="H261" s="43" t="s">
        <v>415</v>
      </c>
      <c r="I261" s="43" t="s">
        <v>96</v>
      </c>
      <c r="J261" s="43" t="s">
        <v>84</v>
      </c>
      <c r="K261" s="43" t="s">
        <v>57</v>
      </c>
      <c r="L261" s="43" t="s">
        <v>58</v>
      </c>
      <c r="M261" s="43" t="s">
        <v>86</v>
      </c>
      <c r="N261" s="43" t="s">
        <v>60</v>
      </c>
      <c r="O261" s="45"/>
      <c r="P261" s="43" t="s">
        <v>66</v>
      </c>
      <c r="Q261" s="43" t="s">
        <v>416</v>
      </c>
      <c r="R261" s="35" t="s">
        <v>88</v>
      </c>
      <c r="S261" s="35" t="s">
        <v>89</v>
      </c>
      <c r="T261" s="35" t="s">
        <v>90</v>
      </c>
    </row>
    <row r="262" spans="1:20" ht="43.5" x14ac:dyDescent="0.35">
      <c r="A262" s="43" t="s">
        <v>371</v>
      </c>
      <c r="B262" s="43" t="s">
        <v>407</v>
      </c>
      <c r="C262" s="43">
        <v>3</v>
      </c>
      <c r="D262" s="43" t="s">
        <v>417</v>
      </c>
      <c r="E262" s="43" t="s">
        <v>100</v>
      </c>
      <c r="F262" s="43" t="s">
        <v>418</v>
      </c>
      <c r="G262" s="43" t="s">
        <v>84</v>
      </c>
      <c r="H262" s="43" t="s">
        <v>419</v>
      </c>
      <c r="I262" s="43" t="s">
        <v>96</v>
      </c>
      <c r="J262" s="43" t="s">
        <v>84</v>
      </c>
      <c r="K262" s="43" t="s">
        <v>57</v>
      </c>
      <c r="L262" s="43" t="s">
        <v>58</v>
      </c>
      <c r="M262" s="43" t="s">
        <v>86</v>
      </c>
      <c r="N262" s="43" t="s">
        <v>60</v>
      </c>
      <c r="O262" s="45"/>
      <c r="P262" s="43" t="s">
        <v>66</v>
      </c>
      <c r="Q262" s="43" t="s">
        <v>420</v>
      </c>
      <c r="R262" s="35" t="s">
        <v>88</v>
      </c>
      <c r="S262" s="35" t="s">
        <v>89</v>
      </c>
      <c r="T262" s="35" t="s">
        <v>90</v>
      </c>
    </row>
    <row r="263" spans="1:20" ht="43.5" x14ac:dyDescent="0.35">
      <c r="A263" s="43" t="s">
        <v>371</v>
      </c>
      <c r="B263" s="43" t="s">
        <v>407</v>
      </c>
      <c r="C263" s="43">
        <v>4</v>
      </c>
      <c r="D263" s="43" t="s">
        <v>421</v>
      </c>
      <c r="E263" s="43" t="s">
        <v>92</v>
      </c>
      <c r="F263" s="43" t="s">
        <v>422</v>
      </c>
      <c r="G263" s="43" t="s">
        <v>94</v>
      </c>
      <c r="H263" s="43" t="s">
        <v>423</v>
      </c>
      <c r="I263" s="43" t="s">
        <v>96</v>
      </c>
      <c r="J263" s="43" t="s">
        <v>97</v>
      </c>
      <c r="K263" s="43" t="s">
        <v>57</v>
      </c>
      <c r="L263" s="43" t="s">
        <v>58</v>
      </c>
      <c r="M263" s="43" t="s">
        <v>86</v>
      </c>
      <c r="N263" s="43" t="s">
        <v>60</v>
      </c>
      <c r="O263" s="45"/>
      <c r="P263" s="43" t="s">
        <v>66</v>
      </c>
      <c r="Q263" s="43" t="s">
        <v>424</v>
      </c>
      <c r="R263" s="35" t="s">
        <v>88</v>
      </c>
      <c r="S263" s="35" t="s">
        <v>89</v>
      </c>
      <c r="T263" s="35" t="s">
        <v>90</v>
      </c>
    </row>
    <row r="264" spans="1:20" ht="43.5" x14ac:dyDescent="0.35">
      <c r="A264" s="46" t="s">
        <v>371</v>
      </c>
      <c r="B264" s="46" t="s">
        <v>407</v>
      </c>
      <c r="C264" s="46">
        <v>5</v>
      </c>
      <c r="D264" s="46" t="s">
        <v>109</v>
      </c>
      <c r="E264" s="46" t="s">
        <v>105</v>
      </c>
      <c r="F264" s="46" t="s">
        <v>110</v>
      </c>
      <c r="G264" s="46" t="s">
        <v>84</v>
      </c>
      <c r="H264" s="46" t="s">
        <v>321</v>
      </c>
      <c r="I264" s="46" t="s">
        <v>53</v>
      </c>
      <c r="J264" s="46" t="s">
        <v>84</v>
      </c>
      <c r="K264" s="46" t="s">
        <v>57</v>
      </c>
      <c r="L264" s="46" t="s">
        <v>58</v>
      </c>
      <c r="M264" s="46" t="s">
        <v>86</v>
      </c>
      <c r="N264" s="46" t="s">
        <v>60</v>
      </c>
      <c r="O264" s="47"/>
      <c r="P264" s="46" t="s">
        <v>66</v>
      </c>
      <c r="Q264" s="46" t="s">
        <v>425</v>
      </c>
      <c r="R264" s="35" t="s">
        <v>88</v>
      </c>
      <c r="S264" s="35" t="s">
        <v>89</v>
      </c>
      <c r="T264" s="35" t="s">
        <v>90</v>
      </c>
    </row>
    <row r="265" spans="1:20" ht="43.5" x14ac:dyDescent="0.35">
      <c r="A265" s="38" t="s">
        <v>371</v>
      </c>
      <c r="B265" s="39" t="s">
        <v>426</v>
      </c>
      <c r="C265" s="38">
        <v>1</v>
      </c>
      <c r="D265" s="38" t="s">
        <v>427</v>
      </c>
      <c r="E265" s="38" t="s">
        <v>47</v>
      </c>
      <c r="F265" s="38" t="s">
        <v>83</v>
      </c>
      <c r="G265" s="38" t="s">
        <v>84</v>
      </c>
      <c r="H265" s="38" t="s">
        <v>85</v>
      </c>
      <c r="I265" s="38" t="s">
        <v>53</v>
      </c>
      <c r="J265" s="38" t="s">
        <v>84</v>
      </c>
      <c r="K265" s="38" t="s">
        <v>57</v>
      </c>
      <c r="L265" s="38" t="s">
        <v>58</v>
      </c>
      <c r="M265" s="38" t="s">
        <v>86</v>
      </c>
      <c r="N265" s="38" t="s">
        <v>60</v>
      </c>
      <c r="O265" s="40"/>
      <c r="P265" s="38" t="s">
        <v>66</v>
      </c>
      <c r="Q265" s="38" t="s">
        <v>87</v>
      </c>
      <c r="R265" s="35" t="s">
        <v>88</v>
      </c>
      <c r="S265" s="35" t="s">
        <v>89</v>
      </c>
      <c r="T265" s="35" t="s">
        <v>90</v>
      </c>
    </row>
    <row r="266" spans="1:20" ht="43.5" x14ac:dyDescent="0.35">
      <c r="A266" s="38" t="s">
        <v>371</v>
      </c>
      <c r="B266" s="38" t="s">
        <v>426</v>
      </c>
      <c r="C266" s="38">
        <v>2</v>
      </c>
      <c r="D266" s="38" t="s">
        <v>428</v>
      </c>
      <c r="E266" s="38" t="s">
        <v>92</v>
      </c>
      <c r="F266" s="38" t="s">
        <v>429</v>
      </c>
      <c r="G266" s="38" t="s">
        <v>94</v>
      </c>
      <c r="H266" s="38" t="s">
        <v>95</v>
      </c>
      <c r="I266" s="38" t="s">
        <v>96</v>
      </c>
      <c r="J266" s="38" t="s">
        <v>97</v>
      </c>
      <c r="K266" s="38" t="s">
        <v>57</v>
      </c>
      <c r="L266" s="38" t="s">
        <v>58</v>
      </c>
      <c r="M266" s="38" t="s">
        <v>86</v>
      </c>
      <c r="N266" s="38" t="s">
        <v>60</v>
      </c>
      <c r="O266" s="40"/>
      <c r="P266" s="38" t="s">
        <v>66</v>
      </c>
      <c r="Q266" s="38" t="s">
        <v>98</v>
      </c>
      <c r="R266" s="35" t="s">
        <v>88</v>
      </c>
      <c r="S266" s="35" t="s">
        <v>89</v>
      </c>
      <c r="T266" s="35" t="s">
        <v>90</v>
      </c>
    </row>
    <row r="267" spans="1:20" ht="43.5" x14ac:dyDescent="0.35">
      <c r="A267" s="38" t="s">
        <v>371</v>
      </c>
      <c r="B267" s="38" t="s">
        <v>426</v>
      </c>
      <c r="C267" s="38">
        <v>3</v>
      </c>
      <c r="D267" s="38" t="s">
        <v>129</v>
      </c>
      <c r="E267" s="38" t="s">
        <v>100</v>
      </c>
      <c r="F267" s="38" t="s">
        <v>430</v>
      </c>
      <c r="G267" s="38" t="s">
        <v>84</v>
      </c>
      <c r="H267" s="38" t="s">
        <v>102</v>
      </c>
      <c r="I267" s="38" t="s">
        <v>96</v>
      </c>
      <c r="J267" s="38" t="s">
        <v>84</v>
      </c>
      <c r="K267" s="38" t="s">
        <v>57</v>
      </c>
      <c r="L267" s="38" t="s">
        <v>58</v>
      </c>
      <c r="M267" s="38" t="s">
        <v>86</v>
      </c>
      <c r="N267" s="38" t="s">
        <v>60</v>
      </c>
      <c r="O267" s="40"/>
      <c r="P267" s="38" t="s">
        <v>66</v>
      </c>
      <c r="Q267" s="38" t="s">
        <v>103</v>
      </c>
      <c r="R267" s="35" t="s">
        <v>88</v>
      </c>
      <c r="S267" s="35" t="s">
        <v>89</v>
      </c>
      <c r="T267" s="35" t="s">
        <v>90</v>
      </c>
    </row>
    <row r="268" spans="1:20" ht="43.5" x14ac:dyDescent="0.35">
      <c r="A268" s="38" t="s">
        <v>371</v>
      </c>
      <c r="B268" s="38" t="s">
        <v>426</v>
      </c>
      <c r="C268" s="38">
        <v>4</v>
      </c>
      <c r="D268" s="38" t="s">
        <v>104</v>
      </c>
      <c r="E268" s="38" t="s">
        <v>105</v>
      </c>
      <c r="F268" s="38" t="s">
        <v>83</v>
      </c>
      <c r="G268" s="38" t="s">
        <v>84</v>
      </c>
      <c r="H268" s="38" t="s">
        <v>106</v>
      </c>
      <c r="I268" s="38" t="s">
        <v>107</v>
      </c>
      <c r="J268" s="38" t="s">
        <v>84</v>
      </c>
      <c r="K268" s="38" t="s">
        <v>57</v>
      </c>
      <c r="L268" s="38" t="s">
        <v>58</v>
      </c>
      <c r="M268" s="38" t="s">
        <v>86</v>
      </c>
      <c r="N268" s="38" t="s">
        <v>60</v>
      </c>
      <c r="O268" s="40"/>
      <c r="P268" s="38" t="s">
        <v>66</v>
      </c>
      <c r="Q268" s="38" t="s">
        <v>108</v>
      </c>
      <c r="R268" s="35" t="s">
        <v>88</v>
      </c>
      <c r="S268" s="35" t="s">
        <v>89</v>
      </c>
      <c r="T268" s="35" t="s">
        <v>90</v>
      </c>
    </row>
    <row r="269" spans="1:20" ht="43.5" x14ac:dyDescent="0.35">
      <c r="A269" s="41" t="s">
        <v>371</v>
      </c>
      <c r="B269" s="41" t="s">
        <v>426</v>
      </c>
      <c r="C269" s="41">
        <v>5</v>
      </c>
      <c r="D269" s="41" t="s">
        <v>109</v>
      </c>
      <c r="E269" s="41" t="s">
        <v>105</v>
      </c>
      <c r="F269" s="41" t="s">
        <v>110</v>
      </c>
      <c r="G269" s="41" t="s">
        <v>84</v>
      </c>
      <c r="H269" s="41" t="s">
        <v>111</v>
      </c>
      <c r="I269" s="41" t="s">
        <v>53</v>
      </c>
      <c r="J269" s="41" t="s">
        <v>84</v>
      </c>
      <c r="K269" s="41" t="s">
        <v>57</v>
      </c>
      <c r="L269" s="41" t="s">
        <v>58</v>
      </c>
      <c r="M269" s="41" t="s">
        <v>86</v>
      </c>
      <c r="N269" s="41" t="s">
        <v>60</v>
      </c>
      <c r="O269" s="42"/>
      <c r="P269" s="41" t="s">
        <v>66</v>
      </c>
      <c r="Q269" s="41" t="s">
        <v>112</v>
      </c>
      <c r="R269" s="35" t="s">
        <v>88</v>
      </c>
      <c r="S269" s="35" t="s">
        <v>89</v>
      </c>
      <c r="T269" s="35" t="s">
        <v>90</v>
      </c>
    </row>
    <row r="270" spans="1:20" ht="43.5" x14ac:dyDescent="0.35">
      <c r="A270" s="43" t="s">
        <v>371</v>
      </c>
      <c r="B270" s="44" t="s">
        <v>431</v>
      </c>
      <c r="C270" s="43">
        <v>1</v>
      </c>
      <c r="D270" s="43" t="s">
        <v>432</v>
      </c>
      <c r="E270" s="43" t="s">
        <v>47</v>
      </c>
      <c r="F270" s="43" t="s">
        <v>83</v>
      </c>
      <c r="G270" s="43" t="s">
        <v>84</v>
      </c>
      <c r="H270" s="43" t="s">
        <v>85</v>
      </c>
      <c r="I270" s="43" t="s">
        <v>53</v>
      </c>
      <c r="J270" s="43" t="s">
        <v>84</v>
      </c>
      <c r="K270" s="43" t="s">
        <v>57</v>
      </c>
      <c r="L270" s="43" t="s">
        <v>58</v>
      </c>
      <c r="M270" s="43" t="s">
        <v>86</v>
      </c>
      <c r="N270" s="43" t="s">
        <v>60</v>
      </c>
      <c r="O270" s="45"/>
      <c r="P270" s="43" t="s">
        <v>66</v>
      </c>
      <c r="Q270" s="43" t="s">
        <v>87</v>
      </c>
      <c r="R270" s="35" t="s">
        <v>88</v>
      </c>
      <c r="S270" s="35" t="s">
        <v>89</v>
      </c>
      <c r="T270" s="35" t="s">
        <v>90</v>
      </c>
    </row>
    <row r="271" spans="1:20" ht="43.5" x14ac:dyDescent="0.35">
      <c r="A271" s="43" t="s">
        <v>371</v>
      </c>
      <c r="B271" s="43" t="s">
        <v>431</v>
      </c>
      <c r="C271" s="43">
        <v>2</v>
      </c>
      <c r="D271" s="43" t="s">
        <v>433</v>
      </c>
      <c r="E271" s="43" t="s">
        <v>92</v>
      </c>
      <c r="F271" s="43" t="s">
        <v>434</v>
      </c>
      <c r="G271" s="43" t="s">
        <v>94</v>
      </c>
      <c r="H271" s="43" t="s">
        <v>95</v>
      </c>
      <c r="I271" s="43" t="s">
        <v>96</v>
      </c>
      <c r="J271" s="43" t="s">
        <v>97</v>
      </c>
      <c r="K271" s="43" t="s">
        <v>57</v>
      </c>
      <c r="L271" s="43" t="s">
        <v>58</v>
      </c>
      <c r="M271" s="43" t="s">
        <v>86</v>
      </c>
      <c r="N271" s="43" t="s">
        <v>60</v>
      </c>
      <c r="O271" s="45"/>
      <c r="P271" s="43" t="s">
        <v>66</v>
      </c>
      <c r="Q271" s="43" t="s">
        <v>98</v>
      </c>
      <c r="R271" s="35" t="s">
        <v>88</v>
      </c>
      <c r="S271" s="35" t="s">
        <v>89</v>
      </c>
      <c r="T271" s="35" t="s">
        <v>90</v>
      </c>
    </row>
    <row r="272" spans="1:20" ht="43.5" x14ac:dyDescent="0.35">
      <c r="A272" s="43" t="s">
        <v>371</v>
      </c>
      <c r="B272" s="43" t="s">
        <v>431</v>
      </c>
      <c r="C272" s="43">
        <v>3</v>
      </c>
      <c r="D272" s="43" t="s">
        <v>435</v>
      </c>
      <c r="E272" s="43" t="s">
        <v>100</v>
      </c>
      <c r="F272" s="43" t="s">
        <v>436</v>
      </c>
      <c r="G272" s="43" t="s">
        <v>84</v>
      </c>
      <c r="H272" s="43" t="s">
        <v>102</v>
      </c>
      <c r="I272" s="43" t="s">
        <v>96</v>
      </c>
      <c r="J272" s="43" t="s">
        <v>84</v>
      </c>
      <c r="K272" s="43" t="s">
        <v>57</v>
      </c>
      <c r="L272" s="43" t="s">
        <v>58</v>
      </c>
      <c r="M272" s="43" t="s">
        <v>86</v>
      </c>
      <c r="N272" s="43" t="s">
        <v>60</v>
      </c>
      <c r="O272" s="45"/>
      <c r="P272" s="43" t="s">
        <v>66</v>
      </c>
      <c r="Q272" s="43" t="s">
        <v>103</v>
      </c>
      <c r="R272" s="35" t="s">
        <v>88</v>
      </c>
      <c r="S272" s="35" t="s">
        <v>89</v>
      </c>
      <c r="T272" s="35" t="s">
        <v>90</v>
      </c>
    </row>
    <row r="273" spans="1:20" ht="43.5" x14ac:dyDescent="0.35">
      <c r="A273" s="43" t="s">
        <v>371</v>
      </c>
      <c r="B273" s="43" t="s">
        <v>431</v>
      </c>
      <c r="C273" s="43">
        <v>4</v>
      </c>
      <c r="D273" s="43" t="s">
        <v>104</v>
      </c>
      <c r="E273" s="43" t="s">
        <v>105</v>
      </c>
      <c r="F273" s="43" t="s">
        <v>83</v>
      </c>
      <c r="G273" s="43" t="s">
        <v>84</v>
      </c>
      <c r="H273" s="43" t="s">
        <v>106</v>
      </c>
      <c r="I273" s="43" t="s">
        <v>107</v>
      </c>
      <c r="J273" s="43" t="s">
        <v>84</v>
      </c>
      <c r="K273" s="43" t="s">
        <v>57</v>
      </c>
      <c r="L273" s="43" t="s">
        <v>58</v>
      </c>
      <c r="M273" s="43" t="s">
        <v>86</v>
      </c>
      <c r="N273" s="43" t="s">
        <v>60</v>
      </c>
      <c r="O273" s="45"/>
      <c r="P273" s="43" t="s">
        <v>66</v>
      </c>
      <c r="Q273" s="43" t="s">
        <v>108</v>
      </c>
      <c r="R273" s="35" t="s">
        <v>88</v>
      </c>
      <c r="S273" s="35" t="s">
        <v>89</v>
      </c>
      <c r="T273" s="35" t="s">
        <v>90</v>
      </c>
    </row>
    <row r="274" spans="1:20" ht="43.5" x14ac:dyDescent="0.35">
      <c r="A274" s="46" t="s">
        <v>371</v>
      </c>
      <c r="B274" s="46" t="s">
        <v>431</v>
      </c>
      <c r="C274" s="46">
        <v>5</v>
      </c>
      <c r="D274" s="46" t="s">
        <v>109</v>
      </c>
      <c r="E274" s="46" t="s">
        <v>105</v>
      </c>
      <c r="F274" s="46" t="s">
        <v>110</v>
      </c>
      <c r="G274" s="46" t="s">
        <v>84</v>
      </c>
      <c r="H274" s="46" t="s">
        <v>111</v>
      </c>
      <c r="I274" s="46" t="s">
        <v>53</v>
      </c>
      <c r="J274" s="46" t="s">
        <v>84</v>
      </c>
      <c r="K274" s="46" t="s">
        <v>57</v>
      </c>
      <c r="L274" s="46" t="s">
        <v>58</v>
      </c>
      <c r="M274" s="46" t="s">
        <v>86</v>
      </c>
      <c r="N274" s="46" t="s">
        <v>60</v>
      </c>
      <c r="O274" s="47"/>
      <c r="P274" s="46" t="s">
        <v>66</v>
      </c>
      <c r="Q274" s="46" t="s">
        <v>112</v>
      </c>
      <c r="R274" s="35" t="s">
        <v>88</v>
      </c>
      <c r="S274" s="35" t="s">
        <v>89</v>
      </c>
      <c r="T274" s="35" t="s">
        <v>90</v>
      </c>
    </row>
  </sheetData>
  <autoFilter ref="A4:T274" xr:uid="{00000000-0009-0000-0000-000001000000}"/>
  <conditionalFormatting sqref="G5:G274">
    <cfRule type="cellIs" dxfId="12" priority="11" operator="equal">
      <formula>"Live"</formula>
    </cfRule>
  </conditionalFormatting>
  <conditionalFormatting sqref="K5:K274">
    <cfRule type="cellIs" dxfId="11" priority="8" operator="equal">
      <formula>"Yes"</formula>
    </cfRule>
  </conditionalFormatting>
  <conditionalFormatting sqref="L5:L274">
    <cfRule type="cellIs" dxfId="10" priority="9" operator="equal">
      <formula>"Not accessible"</formula>
    </cfRule>
    <cfRule type="cellIs" dxfId="9" priority="10" operator="equal">
      <formula>"Open"</formula>
    </cfRule>
  </conditionalFormatting>
  <conditionalFormatting sqref="M5:M274">
    <cfRule type="cellIs" dxfId="8" priority="5" operator="equal">
      <formula>"Downloaded"</formula>
    </cfRule>
    <cfRule type="cellIs" dxfId="7" priority="6" operator="equal">
      <formula>"Accessed"</formula>
    </cfRule>
    <cfRule type="cellIs" dxfId="6" priority="7" operator="equal">
      <formula>"Not started"</formula>
    </cfRule>
  </conditionalFormatting>
  <conditionalFormatting sqref="N5:N274">
    <cfRule type="cellIs" dxfId="5" priority="2" operator="equal">
      <formula>"Ingested"</formula>
    </cfRule>
    <cfRule type="cellIs" dxfId="4" priority="3" operator="equal">
      <formula>"In progress"</formula>
    </cfRule>
    <cfRule type="cellIs" dxfId="3" priority="4" operator="equal">
      <formula>"Not ingested"</formula>
    </cfRule>
  </conditionalFormatting>
  <conditionalFormatting sqref="O5:O274">
    <cfRule type="expression" dxfId="2" priority="12">
      <formula>AND(O5&lt;&gt;"",TODAY()-O5&gt;90)</formula>
    </cfRule>
  </conditionalFormatting>
  <dataValidations count="1">
    <dataValidation type="date" operator="greaterThan" allowBlank="1" showErrorMessage="1" error="Enter a date (YYYY-MM-DD)." sqref="O5:O274" xr:uid="{00000000-0002-0000-0100-000000000000}">
      <formula1>DATE(2020,1,1)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DA959"/>
  </sheetPr>
  <dimension ref="A1:J68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16" customWidth="1"/>
    <col min="2" max="2" width="26" customWidth="1"/>
    <col min="3" max="7" width="14" customWidth="1"/>
    <col min="8" max="8" width="16" customWidth="1"/>
    <col min="9" max="9" width="20" customWidth="1"/>
    <col min="10" max="10" width="18" customWidth="1"/>
  </cols>
  <sheetData>
    <row r="1" spans="1:10" ht="17.25" customHeight="1" x14ac:dyDescent="0.35">
      <c r="A1" s="1" t="s">
        <v>437</v>
      </c>
    </row>
    <row r="2" spans="1:10" x14ac:dyDescent="0.35">
      <c r="A2" s="2" t="s">
        <v>438</v>
      </c>
    </row>
    <row r="4" spans="1:10" ht="15.75" customHeight="1" x14ac:dyDescent="0.35">
      <c r="A4" s="4" t="s">
        <v>439</v>
      </c>
    </row>
    <row r="5" spans="1:10" ht="31.5" customHeight="1" x14ac:dyDescent="0.35">
      <c r="A5" s="3" t="s">
        <v>39</v>
      </c>
      <c r="B5" s="3" t="s">
        <v>440</v>
      </c>
      <c r="C5" s="3" t="s">
        <v>441</v>
      </c>
      <c r="D5" s="3" t="s">
        <v>442</v>
      </c>
      <c r="E5" s="3" t="s">
        <v>56</v>
      </c>
      <c r="F5" s="3" t="s">
        <v>443</v>
      </c>
      <c r="G5" s="3" t="s">
        <v>444</v>
      </c>
      <c r="H5" s="3" t="s">
        <v>445</v>
      </c>
      <c r="I5" s="3" t="s">
        <v>446</v>
      </c>
      <c r="J5" s="3" t="s">
        <v>447</v>
      </c>
    </row>
    <row r="6" spans="1:10" x14ac:dyDescent="0.35">
      <c r="A6" s="5" t="s">
        <v>80</v>
      </c>
      <c r="B6" s="6">
        <v>6</v>
      </c>
      <c r="C6" s="6">
        <f>B6*5</f>
        <v>30</v>
      </c>
      <c r="D6" s="6">
        <f>COUNTIFS('Pricing Tracker'!$A$5:$A$274,$A6,'Pricing Tracker'!$D$5:$D$274,"&lt;&gt;")</f>
        <v>30</v>
      </c>
      <c r="E6" s="6">
        <f>COUNTIFS('Pricing Tracker'!$A$5:$A$274,$A6,'Pricing Tracker'!$K$5:$K$274,"Yes")</f>
        <v>0</v>
      </c>
      <c r="F6" s="6">
        <f>COUNTIFS('Pricing Tracker'!$A$5:$A$274,$A6,'Pricing Tracker'!$M$5:$M$274,"Accessed")+COUNTIFS('Pricing Tracker'!$A$5:$A$274,$A6,'Pricing Tracker'!$M$5:$M$274,"Downloaded")</f>
        <v>0</v>
      </c>
      <c r="G6" s="6">
        <f>COUNTIFS('Pricing Tracker'!$A$5:$A$274,$A6,'Pricing Tracker'!$N$5:$N$274,"Ingested")</f>
        <v>0</v>
      </c>
      <c r="H6" s="7">
        <f t="shared" ref="H6:H11" si="0">IF(C6=0,0,D6/C6)</f>
        <v>1</v>
      </c>
      <c r="I6" s="7">
        <f t="shared" ref="I6:I11" si="1">IF(C6=0,0,G6/C6)</f>
        <v>0</v>
      </c>
      <c r="J6" s="6">
        <f>COUNTIFS('Pricing Tracker'!$A$5:$A$274,$A6,'Pricing Tracker'!$S$5:$S$274,"Verified*")</f>
        <v>0</v>
      </c>
    </row>
    <row r="7" spans="1:10" x14ac:dyDescent="0.35">
      <c r="A7" s="8" t="s">
        <v>143</v>
      </c>
      <c r="B7" s="9">
        <v>15</v>
      </c>
      <c r="C7" s="9">
        <f>B7*5</f>
        <v>75</v>
      </c>
      <c r="D7" s="9">
        <f>COUNTIFS('Pricing Tracker'!$A$5:$A$274,$A7,'Pricing Tracker'!$D$5:$D$274,"&lt;&gt;")</f>
        <v>75</v>
      </c>
      <c r="E7" s="9">
        <f>COUNTIFS('Pricing Tracker'!$A$5:$A$274,$A7,'Pricing Tracker'!$K$5:$K$274,"Yes")</f>
        <v>0</v>
      </c>
      <c r="F7" s="9">
        <f>COUNTIFS('Pricing Tracker'!$A$5:$A$274,$A7,'Pricing Tracker'!$M$5:$M$274,"Accessed")+COUNTIFS('Pricing Tracker'!$A$5:$A$274,$A7,'Pricing Tracker'!$M$5:$M$274,"Downloaded")</f>
        <v>0</v>
      </c>
      <c r="G7" s="9">
        <f>COUNTIFS('Pricing Tracker'!$A$5:$A$274,$A7,'Pricing Tracker'!$N$5:$N$274,"Ingested")</f>
        <v>0</v>
      </c>
      <c r="H7" s="10">
        <f t="shared" si="0"/>
        <v>1</v>
      </c>
      <c r="I7" s="10">
        <f t="shared" si="1"/>
        <v>0</v>
      </c>
      <c r="J7" s="9">
        <f>COUNTIFS('Pricing Tracker'!$A$5:$A$274,$A7,'Pricing Tracker'!$S$5:$S$274,"Verified*")</f>
        <v>0</v>
      </c>
    </row>
    <row r="8" spans="1:10" x14ac:dyDescent="0.35">
      <c r="A8" s="5" t="s">
        <v>240</v>
      </c>
      <c r="B8" s="6">
        <v>9</v>
      </c>
      <c r="C8" s="6">
        <f>B8*5</f>
        <v>45</v>
      </c>
      <c r="D8" s="6">
        <f>COUNTIFS('Pricing Tracker'!$A$5:$A$274,$A8,'Pricing Tracker'!$D$5:$D$274,"&lt;&gt;")</f>
        <v>45</v>
      </c>
      <c r="E8" s="6">
        <f>COUNTIFS('Pricing Tracker'!$A$5:$A$274,$A8,'Pricing Tracker'!$K$5:$K$274,"Yes")</f>
        <v>0</v>
      </c>
      <c r="F8" s="6">
        <f>COUNTIFS('Pricing Tracker'!$A$5:$A$274,$A8,'Pricing Tracker'!$M$5:$M$274,"Accessed")+COUNTIFS('Pricing Tracker'!$A$5:$A$274,$A8,'Pricing Tracker'!$M$5:$M$274,"Downloaded")</f>
        <v>0</v>
      </c>
      <c r="G8" s="6">
        <f>COUNTIFS('Pricing Tracker'!$A$5:$A$274,$A8,'Pricing Tracker'!$N$5:$N$274,"Ingested")</f>
        <v>0</v>
      </c>
      <c r="H8" s="7">
        <f t="shared" si="0"/>
        <v>1</v>
      </c>
      <c r="I8" s="7">
        <f t="shared" si="1"/>
        <v>0</v>
      </c>
      <c r="J8" s="6">
        <f>COUNTIFS('Pricing Tracker'!$A$5:$A$274,$A8,'Pricing Tracker'!$S$5:$S$274,"Verified*")</f>
        <v>0</v>
      </c>
    </row>
    <row r="9" spans="1:10" x14ac:dyDescent="0.35">
      <c r="A9" s="8" t="s">
        <v>40</v>
      </c>
      <c r="B9" s="9">
        <v>14</v>
      </c>
      <c r="C9" s="9">
        <f>B9*5</f>
        <v>70</v>
      </c>
      <c r="D9" s="9">
        <f>COUNTIFS('Pricing Tracker'!$A$5:$A$274,$A9,'Pricing Tracker'!$D$5:$D$274,"&lt;&gt;")</f>
        <v>70</v>
      </c>
      <c r="E9" s="9">
        <f>COUNTIFS('Pricing Tracker'!$A$5:$A$274,$A9,'Pricing Tracker'!$K$5:$K$274,"Yes")</f>
        <v>0</v>
      </c>
      <c r="F9" s="9">
        <f>COUNTIFS('Pricing Tracker'!$A$5:$A$274,$A9,'Pricing Tracker'!$M$5:$M$274,"Accessed")+COUNTIFS('Pricing Tracker'!$A$5:$A$274,$A9,'Pricing Tracker'!$M$5:$M$274,"Downloaded")</f>
        <v>0</v>
      </c>
      <c r="G9" s="9">
        <f>COUNTIFS('Pricing Tracker'!$A$5:$A$274,$A9,'Pricing Tracker'!$N$5:$N$274,"Ingested")</f>
        <v>0</v>
      </c>
      <c r="H9" s="10">
        <f t="shared" si="0"/>
        <v>1</v>
      </c>
      <c r="I9" s="10">
        <f t="shared" si="1"/>
        <v>0</v>
      </c>
      <c r="J9" s="9">
        <f>COUNTIFS('Pricing Tracker'!$A$5:$A$274,$A9,'Pricing Tracker'!$S$5:$S$274,"Verified*")</f>
        <v>0</v>
      </c>
    </row>
    <row r="10" spans="1:10" x14ac:dyDescent="0.35">
      <c r="A10" s="5" t="s">
        <v>371</v>
      </c>
      <c r="B10" s="6">
        <v>10</v>
      </c>
      <c r="C10" s="6">
        <f>B10*5</f>
        <v>50</v>
      </c>
      <c r="D10" s="6">
        <f>COUNTIFS('Pricing Tracker'!$A$5:$A$274,$A10,'Pricing Tracker'!$D$5:$D$274,"&lt;&gt;")</f>
        <v>50</v>
      </c>
      <c r="E10" s="6">
        <f>COUNTIFS('Pricing Tracker'!$A$5:$A$274,$A10,'Pricing Tracker'!$K$5:$K$274,"Yes")</f>
        <v>0</v>
      </c>
      <c r="F10" s="6">
        <f>COUNTIFS('Pricing Tracker'!$A$5:$A$274,$A10,'Pricing Tracker'!$M$5:$M$274,"Accessed")+COUNTIFS('Pricing Tracker'!$A$5:$A$274,$A10,'Pricing Tracker'!$M$5:$M$274,"Downloaded")</f>
        <v>0</v>
      </c>
      <c r="G10" s="6">
        <f>COUNTIFS('Pricing Tracker'!$A$5:$A$274,$A10,'Pricing Tracker'!$N$5:$N$274,"Ingested")</f>
        <v>0</v>
      </c>
      <c r="H10" s="7">
        <f t="shared" si="0"/>
        <v>1</v>
      </c>
      <c r="I10" s="7">
        <f t="shared" si="1"/>
        <v>0</v>
      </c>
      <c r="J10" s="6">
        <f>COUNTIFS('Pricing Tracker'!$A$5:$A$274,$A10,'Pricing Tracker'!$S$5:$S$274,"Verified*")</f>
        <v>0</v>
      </c>
    </row>
    <row r="11" spans="1:10" x14ac:dyDescent="0.35">
      <c r="A11" s="11" t="s">
        <v>448</v>
      </c>
      <c r="B11" s="12">
        <f t="shared" ref="B11:G11" si="2">SUM(B6:B10)</f>
        <v>54</v>
      </c>
      <c r="C11" s="12">
        <f t="shared" si="2"/>
        <v>270</v>
      </c>
      <c r="D11" s="12">
        <f t="shared" si="2"/>
        <v>270</v>
      </c>
      <c r="E11" s="12">
        <f t="shared" si="2"/>
        <v>0</v>
      </c>
      <c r="F11" s="12">
        <f t="shared" si="2"/>
        <v>0</v>
      </c>
      <c r="G11" s="12">
        <f t="shared" si="2"/>
        <v>0</v>
      </c>
      <c r="H11" s="13">
        <f t="shared" si="0"/>
        <v>1</v>
      </c>
      <c r="I11" s="13">
        <f t="shared" si="1"/>
        <v>0</v>
      </c>
      <c r="J11" s="12">
        <f>SUM(J6:J10)</f>
        <v>0</v>
      </c>
    </row>
    <row r="13" spans="1:10" ht="15.75" customHeight="1" x14ac:dyDescent="0.35">
      <c r="A13" s="4" t="s">
        <v>449</v>
      </c>
    </row>
    <row r="14" spans="1:10" ht="31.5" customHeight="1" x14ac:dyDescent="0.35">
      <c r="A14" s="3" t="s">
        <v>39</v>
      </c>
      <c r="B14" s="3" t="s">
        <v>41</v>
      </c>
      <c r="C14" s="3" t="s">
        <v>450</v>
      </c>
      <c r="D14" s="3" t="s">
        <v>56</v>
      </c>
      <c r="E14" s="3" t="s">
        <v>443</v>
      </c>
      <c r="F14" s="3" t="s">
        <v>444</v>
      </c>
      <c r="G14" s="3" t="s">
        <v>451</v>
      </c>
      <c r="H14" s="3" t="s">
        <v>452</v>
      </c>
      <c r="I14" s="3" t="s">
        <v>447</v>
      </c>
    </row>
    <row r="15" spans="1:10" x14ac:dyDescent="0.35">
      <c r="A15" s="14" t="s">
        <v>80</v>
      </c>
      <c r="B15" s="14" t="s">
        <v>81</v>
      </c>
      <c r="C15" s="15">
        <f>COUNTIFS('Pricing Tracker'!$B$5:$B$274,$B15,'Pricing Tracker'!$D$5:$D$274,"&lt;&gt;")</f>
        <v>5</v>
      </c>
      <c r="D15" s="15">
        <f>COUNTIFS('Pricing Tracker'!$B$5:$B$274,$B15,'Pricing Tracker'!$K$5:$K$274,"Yes")</f>
        <v>0</v>
      </c>
      <c r="E15" s="15">
        <f>COUNTIFS('Pricing Tracker'!$B$5:$B$274,$B15,'Pricing Tracker'!$M$5:$M$274,"Accessed")+COUNTIFS('Pricing Tracker'!$B$5:$B$274,$B15,'Pricing Tracker'!$M$5:$M$274,"Downloaded")</f>
        <v>0</v>
      </c>
      <c r="F15" s="15">
        <f>COUNTIFS('Pricing Tracker'!$B$5:$B$274,$B15,'Pricing Tracker'!$N$5:$N$274,"Ingested")</f>
        <v>0</v>
      </c>
      <c r="G15" s="16">
        <f t="shared" ref="G15:G46" si="3">F15/5</f>
        <v>0</v>
      </c>
      <c r="H15" s="17" t="str">
        <f>IF(COUNTIFS('Pricing Tracker'!$B$5:$B$274,$B15,'Pricing Tracker'!$O$5:$O$274,"&gt;0")=0,"",SUMPRODUCT(MAX(('Pricing Tracker'!$B$5:$B$274=$B15)*'Pricing Tracker'!$O$5:$O$274)))</f>
        <v/>
      </c>
      <c r="I15" s="15">
        <f>COUNTIFS('Pricing Tracker'!$B$5:$B$274,$B15,'Pricing Tracker'!$S$5:$S$274,"Verified*")</f>
        <v>0</v>
      </c>
    </row>
    <row r="16" spans="1:10" x14ac:dyDescent="0.35">
      <c r="A16" s="18" t="s">
        <v>80</v>
      </c>
      <c r="B16" s="18" t="s">
        <v>113</v>
      </c>
      <c r="C16" s="19">
        <f>COUNTIFS('Pricing Tracker'!$B$5:$B$274,$B16,'Pricing Tracker'!$D$5:$D$274,"&lt;&gt;")</f>
        <v>5</v>
      </c>
      <c r="D16" s="19">
        <f>COUNTIFS('Pricing Tracker'!$B$5:$B$274,$B16,'Pricing Tracker'!$K$5:$K$274,"Yes")</f>
        <v>0</v>
      </c>
      <c r="E16" s="19">
        <f>COUNTIFS('Pricing Tracker'!$B$5:$B$274,$B16,'Pricing Tracker'!$M$5:$M$274,"Accessed")+COUNTIFS('Pricing Tracker'!$B$5:$B$274,$B16,'Pricing Tracker'!$M$5:$M$274,"Downloaded")</f>
        <v>0</v>
      </c>
      <c r="F16" s="19">
        <f>COUNTIFS('Pricing Tracker'!$B$5:$B$274,$B16,'Pricing Tracker'!$N$5:$N$274,"Ingested")</f>
        <v>0</v>
      </c>
      <c r="G16" s="20">
        <f t="shared" si="3"/>
        <v>0</v>
      </c>
      <c r="H16" s="21" t="str">
        <f>IF(COUNTIFS('Pricing Tracker'!$B$5:$B$274,$B16,'Pricing Tracker'!$O$5:$O$274,"&gt;0")=0,"",SUMPRODUCT(MAX(('Pricing Tracker'!$B$5:$B$274=$B16)*'Pricing Tracker'!$O$5:$O$274)))</f>
        <v/>
      </c>
      <c r="I16" s="19">
        <f>COUNTIFS('Pricing Tracker'!$B$5:$B$274,$B16,'Pricing Tracker'!$S$5:$S$274,"Verified*")</f>
        <v>0</v>
      </c>
    </row>
    <row r="17" spans="1:9" x14ac:dyDescent="0.35">
      <c r="A17" s="14" t="s">
        <v>80</v>
      </c>
      <c r="B17" s="14" t="s">
        <v>119</v>
      </c>
      <c r="C17" s="15">
        <f>COUNTIFS('Pricing Tracker'!$B$5:$B$274,$B17,'Pricing Tracker'!$D$5:$D$274,"&lt;&gt;")</f>
        <v>5</v>
      </c>
      <c r="D17" s="15">
        <f>COUNTIFS('Pricing Tracker'!$B$5:$B$274,$B17,'Pricing Tracker'!$K$5:$K$274,"Yes")</f>
        <v>0</v>
      </c>
      <c r="E17" s="15">
        <f>COUNTIFS('Pricing Tracker'!$B$5:$B$274,$B17,'Pricing Tracker'!$M$5:$M$274,"Accessed")+COUNTIFS('Pricing Tracker'!$B$5:$B$274,$B17,'Pricing Tracker'!$M$5:$M$274,"Downloaded")</f>
        <v>0</v>
      </c>
      <c r="F17" s="15">
        <f>COUNTIFS('Pricing Tracker'!$B$5:$B$274,$B17,'Pricing Tracker'!$N$5:$N$274,"Ingested")</f>
        <v>0</v>
      </c>
      <c r="G17" s="16">
        <f t="shared" si="3"/>
        <v>0</v>
      </c>
      <c r="H17" s="17" t="str">
        <f>IF(COUNTIFS('Pricing Tracker'!$B$5:$B$274,$B17,'Pricing Tracker'!$O$5:$O$274,"&gt;0")=0,"",SUMPRODUCT(MAX(('Pricing Tracker'!$B$5:$B$274=$B17)*'Pricing Tracker'!$O$5:$O$274)))</f>
        <v/>
      </c>
      <c r="I17" s="15">
        <f>COUNTIFS('Pricing Tracker'!$B$5:$B$274,$B17,'Pricing Tracker'!$S$5:$S$274,"Verified*")</f>
        <v>0</v>
      </c>
    </row>
    <row r="18" spans="1:9" x14ac:dyDescent="0.35">
      <c r="A18" s="18" t="s">
        <v>80</v>
      </c>
      <c r="B18" s="18" t="s">
        <v>125</v>
      </c>
      <c r="C18" s="19">
        <f>COUNTIFS('Pricing Tracker'!$B$5:$B$274,$B18,'Pricing Tracker'!$D$5:$D$274,"&lt;&gt;")</f>
        <v>5</v>
      </c>
      <c r="D18" s="19">
        <f>COUNTIFS('Pricing Tracker'!$B$5:$B$274,$B18,'Pricing Tracker'!$K$5:$K$274,"Yes")</f>
        <v>0</v>
      </c>
      <c r="E18" s="19">
        <f>COUNTIFS('Pricing Tracker'!$B$5:$B$274,$B18,'Pricing Tracker'!$M$5:$M$274,"Accessed")+COUNTIFS('Pricing Tracker'!$B$5:$B$274,$B18,'Pricing Tracker'!$M$5:$M$274,"Downloaded")</f>
        <v>0</v>
      </c>
      <c r="F18" s="19">
        <f>COUNTIFS('Pricing Tracker'!$B$5:$B$274,$B18,'Pricing Tracker'!$N$5:$N$274,"Ingested")</f>
        <v>0</v>
      </c>
      <c r="G18" s="20">
        <f t="shared" si="3"/>
        <v>0</v>
      </c>
      <c r="H18" s="21" t="str">
        <f>IF(COUNTIFS('Pricing Tracker'!$B$5:$B$274,$B18,'Pricing Tracker'!$O$5:$O$274,"&gt;0")=0,"",SUMPRODUCT(MAX(('Pricing Tracker'!$B$5:$B$274=$B18)*'Pricing Tracker'!$O$5:$O$274)))</f>
        <v/>
      </c>
      <c r="I18" s="19">
        <f>COUNTIFS('Pricing Tracker'!$B$5:$B$274,$B18,'Pricing Tracker'!$S$5:$S$274,"Verified*")</f>
        <v>0</v>
      </c>
    </row>
    <row r="19" spans="1:9" x14ac:dyDescent="0.35">
      <c r="A19" s="14" t="s">
        <v>80</v>
      </c>
      <c r="B19" s="14" t="s">
        <v>131</v>
      </c>
      <c r="C19" s="15">
        <f>COUNTIFS('Pricing Tracker'!$B$5:$B$274,$B19,'Pricing Tracker'!$D$5:$D$274,"&lt;&gt;")</f>
        <v>5</v>
      </c>
      <c r="D19" s="15">
        <f>COUNTIFS('Pricing Tracker'!$B$5:$B$274,$B19,'Pricing Tracker'!$K$5:$K$274,"Yes")</f>
        <v>0</v>
      </c>
      <c r="E19" s="15">
        <f>COUNTIFS('Pricing Tracker'!$B$5:$B$274,$B19,'Pricing Tracker'!$M$5:$M$274,"Accessed")+COUNTIFS('Pricing Tracker'!$B$5:$B$274,$B19,'Pricing Tracker'!$M$5:$M$274,"Downloaded")</f>
        <v>0</v>
      </c>
      <c r="F19" s="15">
        <f>COUNTIFS('Pricing Tracker'!$B$5:$B$274,$B19,'Pricing Tracker'!$N$5:$N$274,"Ingested")</f>
        <v>0</v>
      </c>
      <c r="G19" s="16">
        <f t="shared" si="3"/>
        <v>0</v>
      </c>
      <c r="H19" s="17" t="str">
        <f>IF(COUNTIFS('Pricing Tracker'!$B$5:$B$274,$B19,'Pricing Tracker'!$O$5:$O$274,"&gt;0")=0,"",SUMPRODUCT(MAX(('Pricing Tracker'!$B$5:$B$274=$B19)*'Pricing Tracker'!$O$5:$O$274)))</f>
        <v/>
      </c>
      <c r="I19" s="15">
        <f>COUNTIFS('Pricing Tracker'!$B$5:$B$274,$B19,'Pricing Tracker'!$S$5:$S$274,"Verified*")</f>
        <v>0</v>
      </c>
    </row>
    <row r="20" spans="1:9" x14ac:dyDescent="0.35">
      <c r="A20" s="18" t="s">
        <v>80</v>
      </c>
      <c r="B20" s="18" t="s">
        <v>137</v>
      </c>
      <c r="C20" s="19">
        <f>COUNTIFS('Pricing Tracker'!$B$5:$B$274,$B20,'Pricing Tracker'!$D$5:$D$274,"&lt;&gt;")</f>
        <v>5</v>
      </c>
      <c r="D20" s="19">
        <f>COUNTIFS('Pricing Tracker'!$B$5:$B$274,$B20,'Pricing Tracker'!$K$5:$K$274,"Yes")</f>
        <v>0</v>
      </c>
      <c r="E20" s="19">
        <f>COUNTIFS('Pricing Tracker'!$B$5:$B$274,$B20,'Pricing Tracker'!$M$5:$M$274,"Accessed")+COUNTIFS('Pricing Tracker'!$B$5:$B$274,$B20,'Pricing Tracker'!$M$5:$M$274,"Downloaded")</f>
        <v>0</v>
      </c>
      <c r="F20" s="19">
        <f>COUNTIFS('Pricing Tracker'!$B$5:$B$274,$B20,'Pricing Tracker'!$N$5:$N$274,"Ingested")</f>
        <v>0</v>
      </c>
      <c r="G20" s="20">
        <f t="shared" si="3"/>
        <v>0</v>
      </c>
      <c r="H20" s="21" t="str">
        <f>IF(COUNTIFS('Pricing Tracker'!$B$5:$B$274,$B20,'Pricing Tracker'!$O$5:$O$274,"&gt;0")=0,"",SUMPRODUCT(MAX(('Pricing Tracker'!$B$5:$B$274=$B20)*'Pricing Tracker'!$O$5:$O$274)))</f>
        <v/>
      </c>
      <c r="I20" s="19">
        <f>COUNTIFS('Pricing Tracker'!$B$5:$B$274,$B20,'Pricing Tracker'!$S$5:$S$274,"Verified*")</f>
        <v>0</v>
      </c>
    </row>
    <row r="21" spans="1:9" x14ac:dyDescent="0.35">
      <c r="A21" s="14" t="s">
        <v>143</v>
      </c>
      <c r="B21" s="14" t="s">
        <v>144</v>
      </c>
      <c r="C21" s="15">
        <f>COUNTIFS('Pricing Tracker'!$B$5:$B$274,$B21,'Pricing Tracker'!$D$5:$D$274,"&lt;&gt;")</f>
        <v>5</v>
      </c>
      <c r="D21" s="15">
        <f>COUNTIFS('Pricing Tracker'!$B$5:$B$274,$B21,'Pricing Tracker'!$K$5:$K$274,"Yes")</f>
        <v>0</v>
      </c>
      <c r="E21" s="15">
        <f>COUNTIFS('Pricing Tracker'!$B$5:$B$274,$B21,'Pricing Tracker'!$M$5:$M$274,"Accessed")+COUNTIFS('Pricing Tracker'!$B$5:$B$274,$B21,'Pricing Tracker'!$M$5:$M$274,"Downloaded")</f>
        <v>0</v>
      </c>
      <c r="F21" s="15">
        <f>COUNTIFS('Pricing Tracker'!$B$5:$B$274,$B21,'Pricing Tracker'!$N$5:$N$274,"Ingested")</f>
        <v>0</v>
      </c>
      <c r="G21" s="16">
        <f t="shared" si="3"/>
        <v>0</v>
      </c>
      <c r="H21" s="17" t="str">
        <f>IF(COUNTIFS('Pricing Tracker'!$B$5:$B$274,$B21,'Pricing Tracker'!$O$5:$O$274,"&gt;0")=0,"",SUMPRODUCT(MAX(('Pricing Tracker'!$B$5:$B$274=$B21)*'Pricing Tracker'!$O$5:$O$274)))</f>
        <v/>
      </c>
      <c r="I21" s="15">
        <f>COUNTIFS('Pricing Tracker'!$B$5:$B$274,$B21,'Pricing Tracker'!$S$5:$S$274,"Verified*")</f>
        <v>0</v>
      </c>
    </row>
    <row r="22" spans="1:9" x14ac:dyDescent="0.35">
      <c r="A22" s="18" t="s">
        <v>143</v>
      </c>
      <c r="B22" s="18" t="s">
        <v>150</v>
      </c>
      <c r="C22" s="19">
        <f>COUNTIFS('Pricing Tracker'!$B$5:$B$274,$B22,'Pricing Tracker'!$D$5:$D$274,"&lt;&gt;")</f>
        <v>5</v>
      </c>
      <c r="D22" s="19">
        <f>COUNTIFS('Pricing Tracker'!$B$5:$B$274,$B22,'Pricing Tracker'!$K$5:$K$274,"Yes")</f>
        <v>0</v>
      </c>
      <c r="E22" s="19">
        <f>COUNTIFS('Pricing Tracker'!$B$5:$B$274,$B22,'Pricing Tracker'!$M$5:$M$274,"Accessed")+COUNTIFS('Pricing Tracker'!$B$5:$B$274,$B22,'Pricing Tracker'!$M$5:$M$274,"Downloaded")</f>
        <v>0</v>
      </c>
      <c r="F22" s="19">
        <f>COUNTIFS('Pricing Tracker'!$B$5:$B$274,$B22,'Pricing Tracker'!$N$5:$N$274,"Ingested")</f>
        <v>0</v>
      </c>
      <c r="G22" s="20">
        <f t="shared" si="3"/>
        <v>0</v>
      </c>
      <c r="H22" s="21" t="str">
        <f>IF(COUNTIFS('Pricing Tracker'!$B$5:$B$274,$B22,'Pricing Tracker'!$O$5:$O$274,"&gt;0")=0,"",SUMPRODUCT(MAX(('Pricing Tracker'!$B$5:$B$274=$B22)*'Pricing Tracker'!$O$5:$O$274)))</f>
        <v/>
      </c>
      <c r="I22" s="19">
        <f>COUNTIFS('Pricing Tracker'!$B$5:$B$274,$B22,'Pricing Tracker'!$S$5:$S$274,"Verified*")</f>
        <v>0</v>
      </c>
    </row>
    <row r="23" spans="1:9" x14ac:dyDescent="0.35">
      <c r="A23" s="14" t="s">
        <v>143</v>
      </c>
      <c r="B23" s="14" t="s">
        <v>156</v>
      </c>
      <c r="C23" s="15">
        <f>COUNTIFS('Pricing Tracker'!$B$5:$B$274,$B23,'Pricing Tracker'!$D$5:$D$274,"&lt;&gt;")</f>
        <v>5</v>
      </c>
      <c r="D23" s="15">
        <f>COUNTIFS('Pricing Tracker'!$B$5:$B$274,$B23,'Pricing Tracker'!$K$5:$K$274,"Yes")</f>
        <v>0</v>
      </c>
      <c r="E23" s="15">
        <f>COUNTIFS('Pricing Tracker'!$B$5:$B$274,$B23,'Pricing Tracker'!$M$5:$M$274,"Accessed")+COUNTIFS('Pricing Tracker'!$B$5:$B$274,$B23,'Pricing Tracker'!$M$5:$M$274,"Downloaded")</f>
        <v>0</v>
      </c>
      <c r="F23" s="15">
        <f>COUNTIFS('Pricing Tracker'!$B$5:$B$274,$B23,'Pricing Tracker'!$N$5:$N$274,"Ingested")</f>
        <v>0</v>
      </c>
      <c r="G23" s="16">
        <f t="shared" si="3"/>
        <v>0</v>
      </c>
      <c r="H23" s="17" t="str">
        <f>IF(COUNTIFS('Pricing Tracker'!$B$5:$B$274,$B23,'Pricing Tracker'!$O$5:$O$274,"&gt;0")=0,"",SUMPRODUCT(MAX(('Pricing Tracker'!$B$5:$B$274=$B23)*'Pricing Tracker'!$O$5:$O$274)))</f>
        <v/>
      </c>
      <c r="I23" s="15">
        <f>COUNTIFS('Pricing Tracker'!$B$5:$B$274,$B23,'Pricing Tracker'!$S$5:$S$274,"Verified*")</f>
        <v>0</v>
      </c>
    </row>
    <row r="24" spans="1:9" x14ac:dyDescent="0.35">
      <c r="A24" s="18" t="s">
        <v>143</v>
      </c>
      <c r="B24" s="18" t="s">
        <v>162</v>
      </c>
      <c r="C24" s="19">
        <f>COUNTIFS('Pricing Tracker'!$B$5:$B$274,$B24,'Pricing Tracker'!$D$5:$D$274,"&lt;&gt;")</f>
        <v>5</v>
      </c>
      <c r="D24" s="19">
        <f>COUNTIFS('Pricing Tracker'!$B$5:$B$274,$B24,'Pricing Tracker'!$K$5:$K$274,"Yes")</f>
        <v>0</v>
      </c>
      <c r="E24" s="19">
        <f>COUNTIFS('Pricing Tracker'!$B$5:$B$274,$B24,'Pricing Tracker'!$M$5:$M$274,"Accessed")+COUNTIFS('Pricing Tracker'!$B$5:$B$274,$B24,'Pricing Tracker'!$M$5:$M$274,"Downloaded")</f>
        <v>0</v>
      </c>
      <c r="F24" s="19">
        <f>COUNTIFS('Pricing Tracker'!$B$5:$B$274,$B24,'Pricing Tracker'!$N$5:$N$274,"Ingested")</f>
        <v>0</v>
      </c>
      <c r="G24" s="20">
        <f t="shared" si="3"/>
        <v>0</v>
      </c>
      <c r="H24" s="21" t="str">
        <f>IF(COUNTIFS('Pricing Tracker'!$B$5:$B$274,$B24,'Pricing Tracker'!$O$5:$O$274,"&gt;0")=0,"",SUMPRODUCT(MAX(('Pricing Tracker'!$B$5:$B$274=$B24)*'Pricing Tracker'!$O$5:$O$274)))</f>
        <v/>
      </c>
      <c r="I24" s="19">
        <f>COUNTIFS('Pricing Tracker'!$B$5:$B$274,$B24,'Pricing Tracker'!$S$5:$S$274,"Verified*")</f>
        <v>0</v>
      </c>
    </row>
    <row r="25" spans="1:9" x14ac:dyDescent="0.35">
      <c r="A25" s="14" t="s">
        <v>143</v>
      </c>
      <c r="B25" s="14" t="s">
        <v>167</v>
      </c>
      <c r="C25" s="15">
        <f>COUNTIFS('Pricing Tracker'!$B$5:$B$274,$B25,'Pricing Tracker'!$D$5:$D$274,"&lt;&gt;")</f>
        <v>5</v>
      </c>
      <c r="D25" s="15">
        <f>COUNTIFS('Pricing Tracker'!$B$5:$B$274,$B25,'Pricing Tracker'!$K$5:$K$274,"Yes")</f>
        <v>0</v>
      </c>
      <c r="E25" s="15">
        <f>COUNTIFS('Pricing Tracker'!$B$5:$B$274,$B25,'Pricing Tracker'!$M$5:$M$274,"Accessed")+COUNTIFS('Pricing Tracker'!$B$5:$B$274,$B25,'Pricing Tracker'!$M$5:$M$274,"Downloaded")</f>
        <v>0</v>
      </c>
      <c r="F25" s="15">
        <f>COUNTIFS('Pricing Tracker'!$B$5:$B$274,$B25,'Pricing Tracker'!$N$5:$N$274,"Ingested")</f>
        <v>0</v>
      </c>
      <c r="G25" s="16">
        <f t="shared" si="3"/>
        <v>0</v>
      </c>
      <c r="H25" s="17" t="str">
        <f>IF(COUNTIFS('Pricing Tracker'!$B$5:$B$274,$B25,'Pricing Tracker'!$O$5:$O$274,"&gt;0")=0,"",SUMPRODUCT(MAX(('Pricing Tracker'!$B$5:$B$274=$B25)*'Pricing Tracker'!$O$5:$O$274)))</f>
        <v/>
      </c>
      <c r="I25" s="15">
        <f>COUNTIFS('Pricing Tracker'!$B$5:$B$274,$B25,'Pricing Tracker'!$S$5:$S$274,"Verified*")</f>
        <v>0</v>
      </c>
    </row>
    <row r="26" spans="1:9" x14ac:dyDescent="0.35">
      <c r="A26" s="18" t="s">
        <v>143</v>
      </c>
      <c r="B26" s="18" t="s">
        <v>172</v>
      </c>
      <c r="C26" s="19">
        <f>COUNTIFS('Pricing Tracker'!$B$5:$B$274,$B26,'Pricing Tracker'!$D$5:$D$274,"&lt;&gt;")</f>
        <v>5</v>
      </c>
      <c r="D26" s="19">
        <f>COUNTIFS('Pricing Tracker'!$B$5:$B$274,$B26,'Pricing Tracker'!$K$5:$K$274,"Yes")</f>
        <v>0</v>
      </c>
      <c r="E26" s="19">
        <f>COUNTIFS('Pricing Tracker'!$B$5:$B$274,$B26,'Pricing Tracker'!$M$5:$M$274,"Accessed")+COUNTIFS('Pricing Tracker'!$B$5:$B$274,$B26,'Pricing Tracker'!$M$5:$M$274,"Downloaded")</f>
        <v>0</v>
      </c>
      <c r="F26" s="19">
        <f>COUNTIFS('Pricing Tracker'!$B$5:$B$274,$B26,'Pricing Tracker'!$N$5:$N$274,"Ingested")</f>
        <v>0</v>
      </c>
      <c r="G26" s="20">
        <f t="shared" si="3"/>
        <v>0</v>
      </c>
      <c r="H26" s="21" t="str">
        <f>IF(COUNTIFS('Pricing Tracker'!$B$5:$B$274,$B26,'Pricing Tracker'!$O$5:$O$274,"&gt;0")=0,"",SUMPRODUCT(MAX(('Pricing Tracker'!$B$5:$B$274=$B26)*'Pricing Tracker'!$O$5:$O$274)))</f>
        <v/>
      </c>
      <c r="I26" s="19">
        <f>COUNTIFS('Pricing Tracker'!$B$5:$B$274,$B26,'Pricing Tracker'!$S$5:$S$274,"Verified*")</f>
        <v>0</v>
      </c>
    </row>
    <row r="27" spans="1:9" x14ac:dyDescent="0.35">
      <c r="A27" s="14" t="s">
        <v>143</v>
      </c>
      <c r="B27" s="14" t="s">
        <v>178</v>
      </c>
      <c r="C27" s="15">
        <f>COUNTIFS('Pricing Tracker'!$B$5:$B$274,$B27,'Pricing Tracker'!$D$5:$D$274,"&lt;&gt;")</f>
        <v>5</v>
      </c>
      <c r="D27" s="15">
        <f>COUNTIFS('Pricing Tracker'!$B$5:$B$274,$B27,'Pricing Tracker'!$K$5:$K$274,"Yes")</f>
        <v>0</v>
      </c>
      <c r="E27" s="15">
        <f>COUNTIFS('Pricing Tracker'!$B$5:$B$274,$B27,'Pricing Tracker'!$M$5:$M$274,"Accessed")+COUNTIFS('Pricing Tracker'!$B$5:$B$274,$B27,'Pricing Tracker'!$M$5:$M$274,"Downloaded")</f>
        <v>0</v>
      </c>
      <c r="F27" s="15">
        <f>COUNTIFS('Pricing Tracker'!$B$5:$B$274,$B27,'Pricing Tracker'!$N$5:$N$274,"Ingested")</f>
        <v>0</v>
      </c>
      <c r="G27" s="16">
        <f t="shared" si="3"/>
        <v>0</v>
      </c>
      <c r="H27" s="17" t="str">
        <f>IF(COUNTIFS('Pricing Tracker'!$B$5:$B$274,$B27,'Pricing Tracker'!$O$5:$O$274,"&gt;0")=0,"",SUMPRODUCT(MAX(('Pricing Tracker'!$B$5:$B$274=$B27)*'Pricing Tracker'!$O$5:$O$274)))</f>
        <v/>
      </c>
      <c r="I27" s="15">
        <f>COUNTIFS('Pricing Tracker'!$B$5:$B$274,$B27,'Pricing Tracker'!$S$5:$S$274,"Verified*")</f>
        <v>0</v>
      </c>
    </row>
    <row r="28" spans="1:9" x14ac:dyDescent="0.35">
      <c r="A28" s="18" t="s">
        <v>143</v>
      </c>
      <c r="B28" s="18" t="s">
        <v>182</v>
      </c>
      <c r="C28" s="19">
        <f>COUNTIFS('Pricing Tracker'!$B$5:$B$274,$B28,'Pricing Tracker'!$D$5:$D$274,"&lt;&gt;")</f>
        <v>5</v>
      </c>
      <c r="D28" s="19">
        <f>COUNTIFS('Pricing Tracker'!$B$5:$B$274,$B28,'Pricing Tracker'!$K$5:$K$274,"Yes")</f>
        <v>0</v>
      </c>
      <c r="E28" s="19">
        <f>COUNTIFS('Pricing Tracker'!$B$5:$B$274,$B28,'Pricing Tracker'!$M$5:$M$274,"Accessed")+COUNTIFS('Pricing Tracker'!$B$5:$B$274,$B28,'Pricing Tracker'!$M$5:$M$274,"Downloaded")</f>
        <v>0</v>
      </c>
      <c r="F28" s="19">
        <f>COUNTIFS('Pricing Tracker'!$B$5:$B$274,$B28,'Pricing Tracker'!$N$5:$N$274,"Ingested")</f>
        <v>0</v>
      </c>
      <c r="G28" s="20">
        <f t="shared" si="3"/>
        <v>0</v>
      </c>
      <c r="H28" s="21" t="str">
        <f>IF(COUNTIFS('Pricing Tracker'!$B$5:$B$274,$B28,'Pricing Tracker'!$O$5:$O$274,"&gt;0")=0,"",SUMPRODUCT(MAX(('Pricing Tracker'!$B$5:$B$274=$B28)*'Pricing Tracker'!$O$5:$O$274)))</f>
        <v/>
      </c>
      <c r="I28" s="19">
        <f>COUNTIFS('Pricing Tracker'!$B$5:$B$274,$B28,'Pricing Tracker'!$S$5:$S$274,"Verified*")</f>
        <v>0</v>
      </c>
    </row>
    <row r="29" spans="1:9" x14ac:dyDescent="0.35">
      <c r="A29" s="14" t="s">
        <v>143</v>
      </c>
      <c r="B29" s="14" t="s">
        <v>187</v>
      </c>
      <c r="C29" s="15">
        <f>COUNTIFS('Pricing Tracker'!$B$5:$B$274,$B29,'Pricing Tracker'!$D$5:$D$274,"&lt;&gt;")</f>
        <v>5</v>
      </c>
      <c r="D29" s="15">
        <f>COUNTIFS('Pricing Tracker'!$B$5:$B$274,$B29,'Pricing Tracker'!$K$5:$K$274,"Yes")</f>
        <v>0</v>
      </c>
      <c r="E29" s="15">
        <f>COUNTIFS('Pricing Tracker'!$B$5:$B$274,$B29,'Pricing Tracker'!$M$5:$M$274,"Accessed")+COUNTIFS('Pricing Tracker'!$B$5:$B$274,$B29,'Pricing Tracker'!$M$5:$M$274,"Downloaded")</f>
        <v>0</v>
      </c>
      <c r="F29" s="15">
        <f>COUNTIFS('Pricing Tracker'!$B$5:$B$274,$B29,'Pricing Tracker'!$N$5:$N$274,"Ingested")</f>
        <v>0</v>
      </c>
      <c r="G29" s="16">
        <f t="shared" si="3"/>
        <v>0</v>
      </c>
      <c r="H29" s="17" t="str">
        <f>IF(COUNTIFS('Pricing Tracker'!$B$5:$B$274,$B29,'Pricing Tracker'!$O$5:$O$274,"&gt;0")=0,"",SUMPRODUCT(MAX(('Pricing Tracker'!$B$5:$B$274=$B29)*'Pricing Tracker'!$O$5:$O$274)))</f>
        <v/>
      </c>
      <c r="I29" s="15">
        <f>COUNTIFS('Pricing Tracker'!$B$5:$B$274,$B29,'Pricing Tracker'!$S$5:$S$274,"Verified*")</f>
        <v>0</v>
      </c>
    </row>
    <row r="30" spans="1:9" x14ac:dyDescent="0.35">
      <c r="A30" s="18" t="s">
        <v>143</v>
      </c>
      <c r="B30" s="18" t="s">
        <v>192</v>
      </c>
      <c r="C30" s="19">
        <f>COUNTIFS('Pricing Tracker'!$B$5:$B$274,$B30,'Pricing Tracker'!$D$5:$D$274,"&lt;&gt;")</f>
        <v>5</v>
      </c>
      <c r="D30" s="19">
        <f>COUNTIFS('Pricing Tracker'!$B$5:$B$274,$B30,'Pricing Tracker'!$K$5:$K$274,"Yes")</f>
        <v>0</v>
      </c>
      <c r="E30" s="19">
        <f>COUNTIFS('Pricing Tracker'!$B$5:$B$274,$B30,'Pricing Tracker'!$M$5:$M$274,"Accessed")+COUNTIFS('Pricing Tracker'!$B$5:$B$274,$B30,'Pricing Tracker'!$M$5:$M$274,"Downloaded")</f>
        <v>0</v>
      </c>
      <c r="F30" s="19">
        <f>COUNTIFS('Pricing Tracker'!$B$5:$B$274,$B30,'Pricing Tracker'!$N$5:$N$274,"Ingested")</f>
        <v>0</v>
      </c>
      <c r="G30" s="20">
        <f t="shared" si="3"/>
        <v>0</v>
      </c>
      <c r="H30" s="21" t="str">
        <f>IF(COUNTIFS('Pricing Tracker'!$B$5:$B$274,$B30,'Pricing Tracker'!$O$5:$O$274,"&gt;0")=0,"",SUMPRODUCT(MAX(('Pricing Tracker'!$B$5:$B$274=$B30)*'Pricing Tracker'!$O$5:$O$274)))</f>
        <v/>
      </c>
      <c r="I30" s="19">
        <f>COUNTIFS('Pricing Tracker'!$B$5:$B$274,$B30,'Pricing Tracker'!$S$5:$S$274,"Verified*")</f>
        <v>0</v>
      </c>
    </row>
    <row r="31" spans="1:9" x14ac:dyDescent="0.35">
      <c r="A31" s="14" t="s">
        <v>143</v>
      </c>
      <c r="B31" s="14" t="s">
        <v>197</v>
      </c>
      <c r="C31" s="15">
        <f>COUNTIFS('Pricing Tracker'!$B$5:$B$274,$B31,'Pricing Tracker'!$D$5:$D$274,"&lt;&gt;")</f>
        <v>5</v>
      </c>
      <c r="D31" s="15">
        <f>COUNTIFS('Pricing Tracker'!$B$5:$B$274,$B31,'Pricing Tracker'!$K$5:$K$274,"Yes")</f>
        <v>0</v>
      </c>
      <c r="E31" s="15">
        <f>COUNTIFS('Pricing Tracker'!$B$5:$B$274,$B31,'Pricing Tracker'!$M$5:$M$274,"Accessed")+COUNTIFS('Pricing Tracker'!$B$5:$B$274,$B31,'Pricing Tracker'!$M$5:$M$274,"Downloaded")</f>
        <v>0</v>
      </c>
      <c r="F31" s="15">
        <f>COUNTIFS('Pricing Tracker'!$B$5:$B$274,$B31,'Pricing Tracker'!$N$5:$N$274,"Ingested")</f>
        <v>0</v>
      </c>
      <c r="G31" s="16">
        <f t="shared" si="3"/>
        <v>0</v>
      </c>
      <c r="H31" s="17" t="str">
        <f>IF(COUNTIFS('Pricing Tracker'!$B$5:$B$274,$B31,'Pricing Tracker'!$O$5:$O$274,"&gt;0")=0,"",SUMPRODUCT(MAX(('Pricing Tracker'!$B$5:$B$274=$B31)*'Pricing Tracker'!$O$5:$O$274)))</f>
        <v/>
      </c>
      <c r="I31" s="15">
        <f>COUNTIFS('Pricing Tracker'!$B$5:$B$274,$B31,'Pricing Tracker'!$S$5:$S$274,"Verified*")</f>
        <v>0</v>
      </c>
    </row>
    <row r="32" spans="1:9" x14ac:dyDescent="0.35">
      <c r="A32" s="18" t="s">
        <v>143</v>
      </c>
      <c r="B32" s="18" t="s">
        <v>201</v>
      </c>
      <c r="C32" s="19">
        <f>COUNTIFS('Pricing Tracker'!$B$5:$B$274,$B32,'Pricing Tracker'!$D$5:$D$274,"&lt;&gt;")</f>
        <v>5</v>
      </c>
      <c r="D32" s="19">
        <f>COUNTIFS('Pricing Tracker'!$B$5:$B$274,$B32,'Pricing Tracker'!$K$5:$K$274,"Yes")</f>
        <v>0</v>
      </c>
      <c r="E32" s="19">
        <f>COUNTIFS('Pricing Tracker'!$B$5:$B$274,$B32,'Pricing Tracker'!$M$5:$M$274,"Accessed")+COUNTIFS('Pricing Tracker'!$B$5:$B$274,$B32,'Pricing Tracker'!$M$5:$M$274,"Downloaded")</f>
        <v>0</v>
      </c>
      <c r="F32" s="19">
        <f>COUNTIFS('Pricing Tracker'!$B$5:$B$274,$B32,'Pricing Tracker'!$N$5:$N$274,"Ingested")</f>
        <v>0</v>
      </c>
      <c r="G32" s="20">
        <f t="shared" si="3"/>
        <v>0</v>
      </c>
      <c r="H32" s="21" t="str">
        <f>IF(COUNTIFS('Pricing Tracker'!$B$5:$B$274,$B32,'Pricing Tracker'!$O$5:$O$274,"&gt;0")=0,"",SUMPRODUCT(MAX(('Pricing Tracker'!$B$5:$B$274=$B32)*'Pricing Tracker'!$O$5:$O$274)))</f>
        <v/>
      </c>
      <c r="I32" s="19">
        <f>COUNTIFS('Pricing Tracker'!$B$5:$B$274,$B32,'Pricing Tracker'!$S$5:$S$274,"Verified*")</f>
        <v>0</v>
      </c>
    </row>
    <row r="33" spans="1:9" x14ac:dyDescent="0.35">
      <c r="A33" s="14" t="s">
        <v>143</v>
      </c>
      <c r="B33" s="14" t="s">
        <v>222</v>
      </c>
      <c r="C33" s="15">
        <f>COUNTIFS('Pricing Tracker'!$B$5:$B$274,$B33,'Pricing Tracker'!$D$5:$D$274,"&lt;&gt;")</f>
        <v>5</v>
      </c>
      <c r="D33" s="15">
        <f>COUNTIFS('Pricing Tracker'!$B$5:$B$274,$B33,'Pricing Tracker'!$K$5:$K$274,"Yes")</f>
        <v>0</v>
      </c>
      <c r="E33" s="15">
        <f>COUNTIFS('Pricing Tracker'!$B$5:$B$274,$B33,'Pricing Tracker'!$M$5:$M$274,"Accessed")+COUNTIFS('Pricing Tracker'!$B$5:$B$274,$B33,'Pricing Tracker'!$M$5:$M$274,"Downloaded")</f>
        <v>0</v>
      </c>
      <c r="F33" s="15">
        <f>COUNTIFS('Pricing Tracker'!$B$5:$B$274,$B33,'Pricing Tracker'!$N$5:$N$274,"Ingested")</f>
        <v>0</v>
      </c>
      <c r="G33" s="16">
        <f t="shared" si="3"/>
        <v>0</v>
      </c>
      <c r="H33" s="17" t="str">
        <f>IF(COUNTIFS('Pricing Tracker'!$B$5:$B$274,$B33,'Pricing Tracker'!$O$5:$O$274,"&gt;0")=0,"",SUMPRODUCT(MAX(('Pricing Tracker'!$B$5:$B$274=$B33)*'Pricing Tracker'!$O$5:$O$274)))</f>
        <v/>
      </c>
      <c r="I33" s="15">
        <f>COUNTIFS('Pricing Tracker'!$B$5:$B$274,$B33,'Pricing Tracker'!$S$5:$S$274,"Verified*")</f>
        <v>0</v>
      </c>
    </row>
    <row r="34" spans="1:9" x14ac:dyDescent="0.35">
      <c r="A34" s="18" t="s">
        <v>143</v>
      </c>
      <c r="B34" s="18" t="s">
        <v>228</v>
      </c>
      <c r="C34" s="19">
        <f>COUNTIFS('Pricing Tracker'!$B$5:$B$274,$B34,'Pricing Tracker'!$D$5:$D$274,"&lt;&gt;")</f>
        <v>5</v>
      </c>
      <c r="D34" s="19">
        <f>COUNTIFS('Pricing Tracker'!$B$5:$B$274,$B34,'Pricing Tracker'!$K$5:$K$274,"Yes")</f>
        <v>0</v>
      </c>
      <c r="E34" s="19">
        <f>COUNTIFS('Pricing Tracker'!$B$5:$B$274,$B34,'Pricing Tracker'!$M$5:$M$274,"Accessed")+COUNTIFS('Pricing Tracker'!$B$5:$B$274,$B34,'Pricing Tracker'!$M$5:$M$274,"Downloaded")</f>
        <v>0</v>
      </c>
      <c r="F34" s="19">
        <f>COUNTIFS('Pricing Tracker'!$B$5:$B$274,$B34,'Pricing Tracker'!$N$5:$N$274,"Ingested")</f>
        <v>0</v>
      </c>
      <c r="G34" s="20">
        <f t="shared" si="3"/>
        <v>0</v>
      </c>
      <c r="H34" s="21" t="str">
        <f>IF(COUNTIFS('Pricing Tracker'!$B$5:$B$274,$B34,'Pricing Tracker'!$O$5:$O$274,"&gt;0")=0,"",SUMPRODUCT(MAX(('Pricing Tracker'!$B$5:$B$274=$B34)*'Pricing Tracker'!$O$5:$O$274)))</f>
        <v/>
      </c>
      <c r="I34" s="19">
        <f>COUNTIFS('Pricing Tracker'!$B$5:$B$274,$B34,'Pricing Tracker'!$S$5:$S$274,"Verified*")</f>
        <v>0</v>
      </c>
    </row>
    <row r="35" spans="1:9" x14ac:dyDescent="0.35">
      <c r="A35" s="14" t="s">
        <v>143</v>
      </c>
      <c r="B35" s="14" t="s">
        <v>234</v>
      </c>
      <c r="C35" s="15">
        <f>COUNTIFS('Pricing Tracker'!$B$5:$B$274,$B35,'Pricing Tracker'!$D$5:$D$274,"&lt;&gt;")</f>
        <v>5</v>
      </c>
      <c r="D35" s="15">
        <f>COUNTIFS('Pricing Tracker'!$B$5:$B$274,$B35,'Pricing Tracker'!$K$5:$K$274,"Yes")</f>
        <v>0</v>
      </c>
      <c r="E35" s="15">
        <f>COUNTIFS('Pricing Tracker'!$B$5:$B$274,$B35,'Pricing Tracker'!$M$5:$M$274,"Accessed")+COUNTIFS('Pricing Tracker'!$B$5:$B$274,$B35,'Pricing Tracker'!$M$5:$M$274,"Downloaded")</f>
        <v>0</v>
      </c>
      <c r="F35" s="15">
        <f>COUNTIFS('Pricing Tracker'!$B$5:$B$274,$B35,'Pricing Tracker'!$N$5:$N$274,"Ingested")</f>
        <v>0</v>
      </c>
      <c r="G35" s="16">
        <f t="shared" si="3"/>
        <v>0</v>
      </c>
      <c r="H35" s="17" t="str">
        <f>IF(COUNTIFS('Pricing Tracker'!$B$5:$B$274,$B35,'Pricing Tracker'!$O$5:$O$274,"&gt;0")=0,"",SUMPRODUCT(MAX(('Pricing Tracker'!$B$5:$B$274=$B35)*'Pricing Tracker'!$O$5:$O$274)))</f>
        <v/>
      </c>
      <c r="I35" s="15">
        <f>COUNTIFS('Pricing Tracker'!$B$5:$B$274,$B35,'Pricing Tracker'!$S$5:$S$274,"Verified*")</f>
        <v>0</v>
      </c>
    </row>
    <row r="36" spans="1:9" x14ac:dyDescent="0.35">
      <c r="A36" s="18" t="s">
        <v>240</v>
      </c>
      <c r="B36" s="18" t="s">
        <v>241</v>
      </c>
      <c r="C36" s="19">
        <f>COUNTIFS('Pricing Tracker'!$B$5:$B$274,$B36,'Pricing Tracker'!$D$5:$D$274,"&lt;&gt;")</f>
        <v>5</v>
      </c>
      <c r="D36" s="19">
        <f>COUNTIFS('Pricing Tracker'!$B$5:$B$274,$B36,'Pricing Tracker'!$K$5:$K$274,"Yes")</f>
        <v>0</v>
      </c>
      <c r="E36" s="19">
        <f>COUNTIFS('Pricing Tracker'!$B$5:$B$274,$B36,'Pricing Tracker'!$M$5:$M$274,"Accessed")+COUNTIFS('Pricing Tracker'!$B$5:$B$274,$B36,'Pricing Tracker'!$M$5:$M$274,"Downloaded")</f>
        <v>0</v>
      </c>
      <c r="F36" s="19">
        <f>COUNTIFS('Pricing Tracker'!$B$5:$B$274,$B36,'Pricing Tracker'!$N$5:$N$274,"Ingested")</f>
        <v>0</v>
      </c>
      <c r="G36" s="20">
        <f t="shared" si="3"/>
        <v>0</v>
      </c>
      <c r="H36" s="21" t="str">
        <f>IF(COUNTIFS('Pricing Tracker'!$B$5:$B$274,$B36,'Pricing Tracker'!$O$5:$O$274,"&gt;0")=0,"",SUMPRODUCT(MAX(('Pricing Tracker'!$B$5:$B$274=$B36)*'Pricing Tracker'!$O$5:$O$274)))</f>
        <v/>
      </c>
      <c r="I36" s="19">
        <f>COUNTIFS('Pricing Tracker'!$B$5:$B$274,$B36,'Pricing Tracker'!$S$5:$S$274,"Verified*")</f>
        <v>0</v>
      </c>
    </row>
    <row r="37" spans="1:9" x14ac:dyDescent="0.35">
      <c r="A37" s="14" t="s">
        <v>240</v>
      </c>
      <c r="B37" s="14" t="s">
        <v>247</v>
      </c>
      <c r="C37" s="15">
        <f>COUNTIFS('Pricing Tracker'!$B$5:$B$274,$B37,'Pricing Tracker'!$D$5:$D$274,"&lt;&gt;")</f>
        <v>5</v>
      </c>
      <c r="D37" s="15">
        <f>COUNTIFS('Pricing Tracker'!$B$5:$B$274,$B37,'Pricing Tracker'!$K$5:$K$274,"Yes")</f>
        <v>0</v>
      </c>
      <c r="E37" s="15">
        <f>COUNTIFS('Pricing Tracker'!$B$5:$B$274,$B37,'Pricing Tracker'!$M$5:$M$274,"Accessed")+COUNTIFS('Pricing Tracker'!$B$5:$B$274,$B37,'Pricing Tracker'!$M$5:$M$274,"Downloaded")</f>
        <v>0</v>
      </c>
      <c r="F37" s="15">
        <f>COUNTIFS('Pricing Tracker'!$B$5:$B$274,$B37,'Pricing Tracker'!$N$5:$N$274,"Ingested")</f>
        <v>0</v>
      </c>
      <c r="G37" s="16">
        <f t="shared" si="3"/>
        <v>0</v>
      </c>
      <c r="H37" s="17" t="str">
        <f>IF(COUNTIFS('Pricing Tracker'!$B$5:$B$274,$B37,'Pricing Tracker'!$O$5:$O$274,"&gt;0")=0,"",SUMPRODUCT(MAX(('Pricing Tracker'!$B$5:$B$274=$B37)*'Pricing Tracker'!$O$5:$O$274)))</f>
        <v/>
      </c>
      <c r="I37" s="15">
        <f>COUNTIFS('Pricing Tracker'!$B$5:$B$274,$B37,'Pricing Tracker'!$S$5:$S$274,"Verified*")</f>
        <v>0</v>
      </c>
    </row>
    <row r="38" spans="1:9" x14ac:dyDescent="0.35">
      <c r="A38" s="18" t="s">
        <v>240</v>
      </c>
      <c r="B38" s="18" t="s">
        <v>252</v>
      </c>
      <c r="C38" s="19">
        <f>COUNTIFS('Pricing Tracker'!$B$5:$B$274,$B38,'Pricing Tracker'!$D$5:$D$274,"&lt;&gt;")</f>
        <v>5</v>
      </c>
      <c r="D38" s="19">
        <f>COUNTIFS('Pricing Tracker'!$B$5:$B$274,$B38,'Pricing Tracker'!$K$5:$K$274,"Yes")</f>
        <v>0</v>
      </c>
      <c r="E38" s="19">
        <f>COUNTIFS('Pricing Tracker'!$B$5:$B$274,$B38,'Pricing Tracker'!$M$5:$M$274,"Accessed")+COUNTIFS('Pricing Tracker'!$B$5:$B$274,$B38,'Pricing Tracker'!$M$5:$M$274,"Downloaded")</f>
        <v>0</v>
      </c>
      <c r="F38" s="19">
        <f>COUNTIFS('Pricing Tracker'!$B$5:$B$274,$B38,'Pricing Tracker'!$N$5:$N$274,"Ingested")</f>
        <v>0</v>
      </c>
      <c r="G38" s="20">
        <f t="shared" si="3"/>
        <v>0</v>
      </c>
      <c r="H38" s="21" t="str">
        <f>IF(COUNTIFS('Pricing Tracker'!$B$5:$B$274,$B38,'Pricing Tracker'!$O$5:$O$274,"&gt;0")=0,"",SUMPRODUCT(MAX(('Pricing Tracker'!$B$5:$B$274=$B38)*'Pricing Tracker'!$O$5:$O$274)))</f>
        <v/>
      </c>
      <c r="I38" s="19">
        <f>COUNTIFS('Pricing Tracker'!$B$5:$B$274,$B38,'Pricing Tracker'!$S$5:$S$274,"Verified*")</f>
        <v>0</v>
      </c>
    </row>
    <row r="39" spans="1:9" x14ac:dyDescent="0.35">
      <c r="A39" s="14" t="s">
        <v>240</v>
      </c>
      <c r="B39" s="14" t="s">
        <v>257</v>
      </c>
      <c r="C39" s="15">
        <f>COUNTIFS('Pricing Tracker'!$B$5:$B$274,$B39,'Pricing Tracker'!$D$5:$D$274,"&lt;&gt;")</f>
        <v>5</v>
      </c>
      <c r="D39" s="15">
        <f>COUNTIFS('Pricing Tracker'!$B$5:$B$274,$B39,'Pricing Tracker'!$K$5:$K$274,"Yes")</f>
        <v>0</v>
      </c>
      <c r="E39" s="15">
        <f>COUNTIFS('Pricing Tracker'!$B$5:$B$274,$B39,'Pricing Tracker'!$M$5:$M$274,"Accessed")+COUNTIFS('Pricing Tracker'!$B$5:$B$274,$B39,'Pricing Tracker'!$M$5:$M$274,"Downloaded")</f>
        <v>0</v>
      </c>
      <c r="F39" s="15">
        <f>COUNTIFS('Pricing Tracker'!$B$5:$B$274,$B39,'Pricing Tracker'!$N$5:$N$274,"Ingested")</f>
        <v>0</v>
      </c>
      <c r="G39" s="16">
        <f t="shared" si="3"/>
        <v>0</v>
      </c>
      <c r="H39" s="17" t="str">
        <f>IF(COUNTIFS('Pricing Tracker'!$B$5:$B$274,$B39,'Pricing Tracker'!$O$5:$O$274,"&gt;0")=0,"",SUMPRODUCT(MAX(('Pricing Tracker'!$B$5:$B$274=$B39)*'Pricing Tracker'!$O$5:$O$274)))</f>
        <v/>
      </c>
      <c r="I39" s="15">
        <f>COUNTIFS('Pricing Tracker'!$B$5:$B$274,$B39,'Pricing Tracker'!$S$5:$S$274,"Verified*")</f>
        <v>0</v>
      </c>
    </row>
    <row r="40" spans="1:9" x14ac:dyDescent="0.35">
      <c r="A40" s="18" t="s">
        <v>240</v>
      </c>
      <c r="B40" s="18" t="s">
        <v>262</v>
      </c>
      <c r="C40" s="19">
        <f>COUNTIFS('Pricing Tracker'!$B$5:$B$274,$B40,'Pricing Tracker'!$D$5:$D$274,"&lt;&gt;")</f>
        <v>5</v>
      </c>
      <c r="D40" s="19">
        <f>COUNTIFS('Pricing Tracker'!$B$5:$B$274,$B40,'Pricing Tracker'!$K$5:$K$274,"Yes")</f>
        <v>0</v>
      </c>
      <c r="E40" s="19">
        <f>COUNTIFS('Pricing Tracker'!$B$5:$B$274,$B40,'Pricing Tracker'!$M$5:$M$274,"Accessed")+COUNTIFS('Pricing Tracker'!$B$5:$B$274,$B40,'Pricing Tracker'!$M$5:$M$274,"Downloaded")</f>
        <v>0</v>
      </c>
      <c r="F40" s="19">
        <f>COUNTIFS('Pricing Tracker'!$B$5:$B$274,$B40,'Pricing Tracker'!$N$5:$N$274,"Ingested")</f>
        <v>0</v>
      </c>
      <c r="G40" s="20">
        <f t="shared" si="3"/>
        <v>0</v>
      </c>
      <c r="H40" s="21" t="str">
        <f>IF(COUNTIFS('Pricing Tracker'!$B$5:$B$274,$B40,'Pricing Tracker'!$O$5:$O$274,"&gt;0")=0,"",SUMPRODUCT(MAX(('Pricing Tracker'!$B$5:$B$274=$B40)*'Pricing Tracker'!$O$5:$O$274)))</f>
        <v/>
      </c>
      <c r="I40" s="19">
        <f>COUNTIFS('Pricing Tracker'!$B$5:$B$274,$B40,'Pricing Tracker'!$S$5:$S$274,"Verified*")</f>
        <v>0</v>
      </c>
    </row>
    <row r="41" spans="1:9" x14ac:dyDescent="0.35">
      <c r="A41" s="14" t="s">
        <v>240</v>
      </c>
      <c r="B41" s="14" t="s">
        <v>266</v>
      </c>
      <c r="C41" s="15">
        <f>COUNTIFS('Pricing Tracker'!$B$5:$B$274,$B41,'Pricing Tracker'!$D$5:$D$274,"&lt;&gt;")</f>
        <v>5</v>
      </c>
      <c r="D41" s="15">
        <f>COUNTIFS('Pricing Tracker'!$B$5:$B$274,$B41,'Pricing Tracker'!$K$5:$K$274,"Yes")</f>
        <v>0</v>
      </c>
      <c r="E41" s="15">
        <f>COUNTIFS('Pricing Tracker'!$B$5:$B$274,$B41,'Pricing Tracker'!$M$5:$M$274,"Accessed")+COUNTIFS('Pricing Tracker'!$B$5:$B$274,$B41,'Pricing Tracker'!$M$5:$M$274,"Downloaded")</f>
        <v>0</v>
      </c>
      <c r="F41" s="15">
        <f>COUNTIFS('Pricing Tracker'!$B$5:$B$274,$B41,'Pricing Tracker'!$N$5:$N$274,"Ingested")</f>
        <v>0</v>
      </c>
      <c r="G41" s="16">
        <f t="shared" si="3"/>
        <v>0</v>
      </c>
      <c r="H41" s="17" t="str">
        <f>IF(COUNTIFS('Pricing Tracker'!$B$5:$B$274,$B41,'Pricing Tracker'!$O$5:$O$274,"&gt;0")=0,"",SUMPRODUCT(MAX(('Pricing Tracker'!$B$5:$B$274=$B41)*'Pricing Tracker'!$O$5:$O$274)))</f>
        <v/>
      </c>
      <c r="I41" s="15">
        <f>COUNTIFS('Pricing Tracker'!$B$5:$B$274,$B41,'Pricing Tracker'!$S$5:$S$274,"Verified*")</f>
        <v>0</v>
      </c>
    </row>
    <row r="42" spans="1:9" x14ac:dyDescent="0.35">
      <c r="A42" s="18" t="s">
        <v>240</v>
      </c>
      <c r="B42" s="18" t="s">
        <v>270</v>
      </c>
      <c r="C42" s="19">
        <f>COUNTIFS('Pricing Tracker'!$B$5:$B$274,$B42,'Pricing Tracker'!$D$5:$D$274,"&lt;&gt;")</f>
        <v>5</v>
      </c>
      <c r="D42" s="19">
        <f>COUNTIFS('Pricing Tracker'!$B$5:$B$274,$B42,'Pricing Tracker'!$K$5:$K$274,"Yes")</f>
        <v>0</v>
      </c>
      <c r="E42" s="19">
        <f>COUNTIFS('Pricing Tracker'!$B$5:$B$274,$B42,'Pricing Tracker'!$M$5:$M$274,"Accessed")+COUNTIFS('Pricing Tracker'!$B$5:$B$274,$B42,'Pricing Tracker'!$M$5:$M$274,"Downloaded")</f>
        <v>0</v>
      </c>
      <c r="F42" s="19">
        <f>COUNTIFS('Pricing Tracker'!$B$5:$B$274,$B42,'Pricing Tracker'!$N$5:$N$274,"Ingested")</f>
        <v>0</v>
      </c>
      <c r="G42" s="20">
        <f t="shared" si="3"/>
        <v>0</v>
      </c>
      <c r="H42" s="21" t="str">
        <f>IF(COUNTIFS('Pricing Tracker'!$B$5:$B$274,$B42,'Pricing Tracker'!$O$5:$O$274,"&gt;0")=0,"",SUMPRODUCT(MAX(('Pricing Tracker'!$B$5:$B$274=$B42)*'Pricing Tracker'!$O$5:$O$274)))</f>
        <v/>
      </c>
      <c r="I42" s="19">
        <f>COUNTIFS('Pricing Tracker'!$B$5:$B$274,$B42,'Pricing Tracker'!$S$5:$S$274,"Verified*")</f>
        <v>0</v>
      </c>
    </row>
    <row r="43" spans="1:9" x14ac:dyDescent="0.35">
      <c r="A43" s="14" t="s">
        <v>240</v>
      </c>
      <c r="B43" s="14" t="s">
        <v>275</v>
      </c>
      <c r="C43" s="15">
        <f>COUNTIFS('Pricing Tracker'!$B$5:$B$274,$B43,'Pricing Tracker'!$D$5:$D$274,"&lt;&gt;")</f>
        <v>5</v>
      </c>
      <c r="D43" s="15">
        <f>COUNTIFS('Pricing Tracker'!$B$5:$B$274,$B43,'Pricing Tracker'!$K$5:$K$274,"Yes")</f>
        <v>0</v>
      </c>
      <c r="E43" s="15">
        <f>COUNTIFS('Pricing Tracker'!$B$5:$B$274,$B43,'Pricing Tracker'!$M$5:$M$274,"Accessed")+COUNTIFS('Pricing Tracker'!$B$5:$B$274,$B43,'Pricing Tracker'!$M$5:$M$274,"Downloaded")</f>
        <v>0</v>
      </c>
      <c r="F43" s="15">
        <f>COUNTIFS('Pricing Tracker'!$B$5:$B$274,$B43,'Pricing Tracker'!$N$5:$N$274,"Ingested")</f>
        <v>0</v>
      </c>
      <c r="G43" s="16">
        <f t="shared" si="3"/>
        <v>0</v>
      </c>
      <c r="H43" s="17" t="str">
        <f>IF(COUNTIFS('Pricing Tracker'!$B$5:$B$274,$B43,'Pricing Tracker'!$O$5:$O$274,"&gt;0")=0,"",SUMPRODUCT(MAX(('Pricing Tracker'!$B$5:$B$274=$B43)*'Pricing Tracker'!$O$5:$O$274)))</f>
        <v/>
      </c>
      <c r="I43" s="15">
        <f>COUNTIFS('Pricing Tracker'!$B$5:$B$274,$B43,'Pricing Tracker'!$S$5:$S$274,"Verified*")</f>
        <v>0</v>
      </c>
    </row>
    <row r="44" spans="1:9" x14ac:dyDescent="0.35">
      <c r="A44" s="18" t="s">
        <v>240</v>
      </c>
      <c r="B44" s="18" t="s">
        <v>280</v>
      </c>
      <c r="C44" s="19">
        <f>COUNTIFS('Pricing Tracker'!$B$5:$B$274,$B44,'Pricing Tracker'!$D$5:$D$274,"&lt;&gt;")</f>
        <v>5</v>
      </c>
      <c r="D44" s="19">
        <f>COUNTIFS('Pricing Tracker'!$B$5:$B$274,$B44,'Pricing Tracker'!$K$5:$K$274,"Yes")</f>
        <v>0</v>
      </c>
      <c r="E44" s="19">
        <f>COUNTIFS('Pricing Tracker'!$B$5:$B$274,$B44,'Pricing Tracker'!$M$5:$M$274,"Accessed")+COUNTIFS('Pricing Tracker'!$B$5:$B$274,$B44,'Pricing Tracker'!$M$5:$M$274,"Downloaded")</f>
        <v>0</v>
      </c>
      <c r="F44" s="19">
        <f>COUNTIFS('Pricing Tracker'!$B$5:$B$274,$B44,'Pricing Tracker'!$N$5:$N$274,"Ingested")</f>
        <v>0</v>
      </c>
      <c r="G44" s="20">
        <f t="shared" si="3"/>
        <v>0</v>
      </c>
      <c r="H44" s="21" t="str">
        <f>IF(COUNTIFS('Pricing Tracker'!$B$5:$B$274,$B44,'Pricing Tracker'!$O$5:$O$274,"&gt;0")=0,"",SUMPRODUCT(MAX(('Pricing Tracker'!$B$5:$B$274=$B44)*'Pricing Tracker'!$O$5:$O$274)))</f>
        <v/>
      </c>
      <c r="I44" s="19">
        <f>COUNTIFS('Pricing Tracker'!$B$5:$B$274,$B44,'Pricing Tracker'!$S$5:$S$274,"Verified*")</f>
        <v>0</v>
      </c>
    </row>
    <row r="45" spans="1:9" x14ac:dyDescent="0.35">
      <c r="A45" s="14" t="s">
        <v>40</v>
      </c>
      <c r="B45" s="14" t="s">
        <v>284</v>
      </c>
      <c r="C45" s="15">
        <f>COUNTIFS('Pricing Tracker'!$B$5:$B$274,$B45,'Pricing Tracker'!$D$5:$D$274,"&lt;&gt;")</f>
        <v>5</v>
      </c>
      <c r="D45" s="15">
        <f>COUNTIFS('Pricing Tracker'!$B$5:$B$274,$B45,'Pricing Tracker'!$K$5:$K$274,"Yes")</f>
        <v>0</v>
      </c>
      <c r="E45" s="15">
        <f>COUNTIFS('Pricing Tracker'!$B$5:$B$274,$B45,'Pricing Tracker'!$M$5:$M$274,"Accessed")+COUNTIFS('Pricing Tracker'!$B$5:$B$274,$B45,'Pricing Tracker'!$M$5:$M$274,"Downloaded")</f>
        <v>0</v>
      </c>
      <c r="F45" s="15">
        <f>COUNTIFS('Pricing Tracker'!$B$5:$B$274,$B45,'Pricing Tracker'!$N$5:$N$274,"Ingested")</f>
        <v>0</v>
      </c>
      <c r="G45" s="16">
        <f t="shared" si="3"/>
        <v>0</v>
      </c>
      <c r="H45" s="17" t="str">
        <f>IF(COUNTIFS('Pricing Tracker'!$B$5:$B$274,$B45,'Pricing Tracker'!$O$5:$O$274,"&gt;0")=0,"",SUMPRODUCT(MAX(('Pricing Tracker'!$B$5:$B$274=$B45)*'Pricing Tracker'!$O$5:$O$274)))</f>
        <v/>
      </c>
      <c r="I45" s="15">
        <f>COUNTIFS('Pricing Tracker'!$B$5:$B$274,$B45,'Pricing Tracker'!$S$5:$S$274,"Verified*")</f>
        <v>0</v>
      </c>
    </row>
    <row r="46" spans="1:9" x14ac:dyDescent="0.35">
      <c r="A46" s="18" t="s">
        <v>40</v>
      </c>
      <c r="B46" s="18" t="s">
        <v>289</v>
      </c>
      <c r="C46" s="19">
        <f>COUNTIFS('Pricing Tracker'!$B$5:$B$274,$B46,'Pricing Tracker'!$D$5:$D$274,"&lt;&gt;")</f>
        <v>5</v>
      </c>
      <c r="D46" s="19">
        <f>COUNTIFS('Pricing Tracker'!$B$5:$B$274,$B46,'Pricing Tracker'!$K$5:$K$274,"Yes")</f>
        <v>0</v>
      </c>
      <c r="E46" s="19">
        <f>COUNTIFS('Pricing Tracker'!$B$5:$B$274,$B46,'Pricing Tracker'!$M$5:$M$274,"Accessed")+COUNTIFS('Pricing Tracker'!$B$5:$B$274,$B46,'Pricing Tracker'!$M$5:$M$274,"Downloaded")</f>
        <v>0</v>
      </c>
      <c r="F46" s="19">
        <f>COUNTIFS('Pricing Tracker'!$B$5:$B$274,$B46,'Pricing Tracker'!$N$5:$N$274,"Ingested")</f>
        <v>0</v>
      </c>
      <c r="G46" s="20">
        <f t="shared" si="3"/>
        <v>0</v>
      </c>
      <c r="H46" s="21" t="str">
        <f>IF(COUNTIFS('Pricing Tracker'!$B$5:$B$274,$B46,'Pricing Tracker'!$O$5:$O$274,"&gt;0")=0,"",SUMPRODUCT(MAX(('Pricing Tracker'!$B$5:$B$274=$B46)*'Pricing Tracker'!$O$5:$O$274)))</f>
        <v/>
      </c>
      <c r="I46" s="19">
        <f>COUNTIFS('Pricing Tracker'!$B$5:$B$274,$B46,'Pricing Tracker'!$S$5:$S$274,"Verified*")</f>
        <v>0</v>
      </c>
    </row>
    <row r="47" spans="1:9" x14ac:dyDescent="0.35">
      <c r="A47" s="14" t="s">
        <v>40</v>
      </c>
      <c r="B47" s="14" t="s">
        <v>295</v>
      </c>
      <c r="C47" s="15">
        <f>COUNTIFS('Pricing Tracker'!$B$5:$B$274,$B47,'Pricing Tracker'!$D$5:$D$274,"&lt;&gt;")</f>
        <v>5</v>
      </c>
      <c r="D47" s="15">
        <f>COUNTIFS('Pricing Tracker'!$B$5:$B$274,$B47,'Pricing Tracker'!$K$5:$K$274,"Yes")</f>
        <v>0</v>
      </c>
      <c r="E47" s="15">
        <f>COUNTIFS('Pricing Tracker'!$B$5:$B$274,$B47,'Pricing Tracker'!$M$5:$M$274,"Accessed")+COUNTIFS('Pricing Tracker'!$B$5:$B$274,$B47,'Pricing Tracker'!$M$5:$M$274,"Downloaded")</f>
        <v>0</v>
      </c>
      <c r="F47" s="15">
        <f>COUNTIFS('Pricing Tracker'!$B$5:$B$274,$B47,'Pricing Tracker'!$N$5:$N$274,"Ingested")</f>
        <v>0</v>
      </c>
      <c r="G47" s="16">
        <f t="shared" ref="G47:G78" si="4">F47/5</f>
        <v>0</v>
      </c>
      <c r="H47" s="17" t="str">
        <f>IF(COUNTIFS('Pricing Tracker'!$B$5:$B$274,$B47,'Pricing Tracker'!$O$5:$O$274,"&gt;0")=0,"",SUMPRODUCT(MAX(('Pricing Tracker'!$B$5:$B$274=$B47)*'Pricing Tracker'!$O$5:$O$274)))</f>
        <v/>
      </c>
      <c r="I47" s="15">
        <f>COUNTIFS('Pricing Tracker'!$B$5:$B$274,$B47,'Pricing Tracker'!$S$5:$S$274,"Verified*")</f>
        <v>0</v>
      </c>
    </row>
    <row r="48" spans="1:9" x14ac:dyDescent="0.35">
      <c r="A48" s="18" t="s">
        <v>40</v>
      </c>
      <c r="B48" s="18" t="s">
        <v>300</v>
      </c>
      <c r="C48" s="19">
        <f>COUNTIFS('Pricing Tracker'!$B$5:$B$274,$B48,'Pricing Tracker'!$D$5:$D$274,"&lt;&gt;")</f>
        <v>5</v>
      </c>
      <c r="D48" s="19">
        <f>COUNTIFS('Pricing Tracker'!$B$5:$B$274,$B48,'Pricing Tracker'!$K$5:$K$274,"Yes")</f>
        <v>0</v>
      </c>
      <c r="E48" s="19">
        <f>COUNTIFS('Pricing Tracker'!$B$5:$B$274,$B48,'Pricing Tracker'!$M$5:$M$274,"Accessed")+COUNTIFS('Pricing Tracker'!$B$5:$B$274,$B48,'Pricing Tracker'!$M$5:$M$274,"Downloaded")</f>
        <v>0</v>
      </c>
      <c r="F48" s="19">
        <f>COUNTIFS('Pricing Tracker'!$B$5:$B$274,$B48,'Pricing Tracker'!$N$5:$N$274,"Ingested")</f>
        <v>0</v>
      </c>
      <c r="G48" s="20">
        <f t="shared" si="4"/>
        <v>0</v>
      </c>
      <c r="H48" s="21" t="str">
        <f>IF(COUNTIFS('Pricing Tracker'!$B$5:$B$274,$B48,'Pricing Tracker'!$O$5:$O$274,"&gt;0")=0,"",SUMPRODUCT(MAX(('Pricing Tracker'!$B$5:$B$274=$B48)*'Pricing Tracker'!$O$5:$O$274)))</f>
        <v/>
      </c>
      <c r="I48" s="19">
        <f>COUNTIFS('Pricing Tracker'!$B$5:$B$274,$B48,'Pricing Tracker'!$S$5:$S$274,"Verified*")</f>
        <v>0</v>
      </c>
    </row>
    <row r="49" spans="1:9" x14ac:dyDescent="0.35">
      <c r="A49" s="14" t="s">
        <v>40</v>
      </c>
      <c r="B49" s="14" t="s">
        <v>42</v>
      </c>
      <c r="C49" s="15">
        <f>COUNTIFS('Pricing Tracker'!$B$5:$B$274,$B49,'Pricing Tracker'!$D$5:$D$274,"&lt;&gt;")</f>
        <v>5</v>
      </c>
      <c r="D49" s="15">
        <f>COUNTIFS('Pricing Tracker'!$B$5:$B$274,$B49,'Pricing Tracker'!$K$5:$K$274,"Yes")</f>
        <v>0</v>
      </c>
      <c r="E49" s="15">
        <f>COUNTIFS('Pricing Tracker'!$B$5:$B$274,$B49,'Pricing Tracker'!$M$5:$M$274,"Accessed")+COUNTIFS('Pricing Tracker'!$B$5:$B$274,$B49,'Pricing Tracker'!$M$5:$M$274,"Downloaded")</f>
        <v>0</v>
      </c>
      <c r="F49" s="15">
        <f>COUNTIFS('Pricing Tracker'!$B$5:$B$274,$B49,'Pricing Tracker'!$N$5:$N$274,"Ingested")</f>
        <v>0</v>
      </c>
      <c r="G49" s="16">
        <f t="shared" si="4"/>
        <v>0</v>
      </c>
      <c r="H49" s="17" t="str">
        <f>IF(COUNTIFS('Pricing Tracker'!$B$5:$B$274,$B49,'Pricing Tracker'!$O$5:$O$274,"&gt;0")=0,"",SUMPRODUCT(MAX(('Pricing Tracker'!$B$5:$B$274=$B49)*'Pricing Tracker'!$O$5:$O$274)))</f>
        <v/>
      </c>
      <c r="I49" s="15">
        <f>COUNTIFS('Pricing Tracker'!$B$5:$B$274,$B49,'Pricing Tracker'!$S$5:$S$274,"Verified*")</f>
        <v>0</v>
      </c>
    </row>
    <row r="50" spans="1:9" x14ac:dyDescent="0.35">
      <c r="A50" s="18" t="s">
        <v>40</v>
      </c>
      <c r="B50" s="18" t="s">
        <v>323</v>
      </c>
      <c r="C50" s="19">
        <f>COUNTIFS('Pricing Tracker'!$B$5:$B$274,$B50,'Pricing Tracker'!$D$5:$D$274,"&lt;&gt;")</f>
        <v>5</v>
      </c>
      <c r="D50" s="19">
        <f>COUNTIFS('Pricing Tracker'!$B$5:$B$274,$B50,'Pricing Tracker'!$K$5:$K$274,"Yes")</f>
        <v>0</v>
      </c>
      <c r="E50" s="19">
        <f>COUNTIFS('Pricing Tracker'!$B$5:$B$274,$B50,'Pricing Tracker'!$M$5:$M$274,"Accessed")+COUNTIFS('Pricing Tracker'!$B$5:$B$274,$B50,'Pricing Tracker'!$M$5:$M$274,"Downloaded")</f>
        <v>0</v>
      </c>
      <c r="F50" s="19">
        <f>COUNTIFS('Pricing Tracker'!$B$5:$B$274,$B50,'Pricing Tracker'!$N$5:$N$274,"Ingested")</f>
        <v>0</v>
      </c>
      <c r="G50" s="20">
        <f t="shared" si="4"/>
        <v>0</v>
      </c>
      <c r="H50" s="21" t="str">
        <f>IF(COUNTIFS('Pricing Tracker'!$B$5:$B$274,$B50,'Pricing Tracker'!$O$5:$O$274,"&gt;0")=0,"",SUMPRODUCT(MAX(('Pricing Tracker'!$B$5:$B$274=$B50)*'Pricing Tracker'!$O$5:$O$274)))</f>
        <v/>
      </c>
      <c r="I50" s="19">
        <f>COUNTIFS('Pricing Tracker'!$B$5:$B$274,$B50,'Pricing Tracker'!$S$5:$S$274,"Verified*")</f>
        <v>0</v>
      </c>
    </row>
    <row r="51" spans="1:9" x14ac:dyDescent="0.35">
      <c r="A51" s="14" t="s">
        <v>40</v>
      </c>
      <c r="B51" s="14" t="s">
        <v>327</v>
      </c>
      <c r="C51" s="15">
        <f>COUNTIFS('Pricing Tracker'!$B$5:$B$274,$B51,'Pricing Tracker'!$D$5:$D$274,"&lt;&gt;")</f>
        <v>5</v>
      </c>
      <c r="D51" s="15">
        <f>COUNTIFS('Pricing Tracker'!$B$5:$B$274,$B51,'Pricing Tracker'!$K$5:$K$274,"Yes")</f>
        <v>0</v>
      </c>
      <c r="E51" s="15">
        <f>COUNTIFS('Pricing Tracker'!$B$5:$B$274,$B51,'Pricing Tracker'!$M$5:$M$274,"Accessed")+COUNTIFS('Pricing Tracker'!$B$5:$B$274,$B51,'Pricing Tracker'!$M$5:$M$274,"Downloaded")</f>
        <v>0</v>
      </c>
      <c r="F51" s="15">
        <f>COUNTIFS('Pricing Tracker'!$B$5:$B$274,$B51,'Pricing Tracker'!$N$5:$N$274,"Ingested")</f>
        <v>0</v>
      </c>
      <c r="G51" s="16">
        <f t="shared" si="4"/>
        <v>0</v>
      </c>
      <c r="H51" s="17" t="str">
        <f>IF(COUNTIFS('Pricing Tracker'!$B$5:$B$274,$B51,'Pricing Tracker'!$O$5:$O$274,"&gt;0")=0,"",SUMPRODUCT(MAX(('Pricing Tracker'!$B$5:$B$274=$B51)*'Pricing Tracker'!$O$5:$O$274)))</f>
        <v/>
      </c>
      <c r="I51" s="15">
        <f>COUNTIFS('Pricing Tracker'!$B$5:$B$274,$B51,'Pricing Tracker'!$S$5:$S$274,"Verified*")</f>
        <v>0</v>
      </c>
    </row>
    <row r="52" spans="1:9" x14ac:dyDescent="0.35">
      <c r="A52" s="18" t="s">
        <v>40</v>
      </c>
      <c r="B52" s="18" t="s">
        <v>333</v>
      </c>
      <c r="C52" s="19">
        <f>COUNTIFS('Pricing Tracker'!$B$5:$B$274,$B52,'Pricing Tracker'!$D$5:$D$274,"&lt;&gt;")</f>
        <v>5</v>
      </c>
      <c r="D52" s="19">
        <f>COUNTIFS('Pricing Tracker'!$B$5:$B$274,$B52,'Pricing Tracker'!$K$5:$K$274,"Yes")</f>
        <v>0</v>
      </c>
      <c r="E52" s="19">
        <f>COUNTIFS('Pricing Tracker'!$B$5:$B$274,$B52,'Pricing Tracker'!$M$5:$M$274,"Accessed")+COUNTIFS('Pricing Tracker'!$B$5:$B$274,$B52,'Pricing Tracker'!$M$5:$M$274,"Downloaded")</f>
        <v>0</v>
      </c>
      <c r="F52" s="19">
        <f>COUNTIFS('Pricing Tracker'!$B$5:$B$274,$B52,'Pricing Tracker'!$N$5:$N$274,"Ingested")</f>
        <v>0</v>
      </c>
      <c r="G52" s="20">
        <f t="shared" si="4"/>
        <v>0</v>
      </c>
      <c r="H52" s="21" t="str">
        <f>IF(COUNTIFS('Pricing Tracker'!$B$5:$B$274,$B52,'Pricing Tracker'!$O$5:$O$274,"&gt;0")=0,"",SUMPRODUCT(MAX(('Pricing Tracker'!$B$5:$B$274=$B52)*'Pricing Tracker'!$O$5:$O$274)))</f>
        <v/>
      </c>
      <c r="I52" s="19">
        <f>COUNTIFS('Pricing Tracker'!$B$5:$B$274,$B52,'Pricing Tracker'!$S$5:$S$274,"Verified*")</f>
        <v>0</v>
      </c>
    </row>
    <row r="53" spans="1:9" x14ac:dyDescent="0.35">
      <c r="A53" s="14" t="s">
        <v>40</v>
      </c>
      <c r="B53" s="14" t="s">
        <v>339</v>
      </c>
      <c r="C53" s="15">
        <f>COUNTIFS('Pricing Tracker'!$B$5:$B$274,$B53,'Pricing Tracker'!$D$5:$D$274,"&lt;&gt;")</f>
        <v>5</v>
      </c>
      <c r="D53" s="15">
        <f>COUNTIFS('Pricing Tracker'!$B$5:$B$274,$B53,'Pricing Tracker'!$K$5:$K$274,"Yes")</f>
        <v>0</v>
      </c>
      <c r="E53" s="15">
        <f>COUNTIFS('Pricing Tracker'!$B$5:$B$274,$B53,'Pricing Tracker'!$M$5:$M$274,"Accessed")+COUNTIFS('Pricing Tracker'!$B$5:$B$274,$B53,'Pricing Tracker'!$M$5:$M$274,"Downloaded")</f>
        <v>0</v>
      </c>
      <c r="F53" s="15">
        <f>COUNTIFS('Pricing Tracker'!$B$5:$B$274,$B53,'Pricing Tracker'!$N$5:$N$274,"Ingested")</f>
        <v>0</v>
      </c>
      <c r="G53" s="16">
        <f t="shared" si="4"/>
        <v>0</v>
      </c>
      <c r="H53" s="17" t="str">
        <f>IF(COUNTIFS('Pricing Tracker'!$B$5:$B$274,$B53,'Pricing Tracker'!$O$5:$O$274,"&gt;0")=0,"",SUMPRODUCT(MAX(('Pricing Tracker'!$B$5:$B$274=$B53)*'Pricing Tracker'!$O$5:$O$274)))</f>
        <v/>
      </c>
      <c r="I53" s="15">
        <f>COUNTIFS('Pricing Tracker'!$B$5:$B$274,$B53,'Pricing Tracker'!$S$5:$S$274,"Verified*")</f>
        <v>0</v>
      </c>
    </row>
    <row r="54" spans="1:9" x14ac:dyDescent="0.35">
      <c r="A54" s="18" t="s">
        <v>40</v>
      </c>
      <c r="B54" s="18" t="s">
        <v>345</v>
      </c>
      <c r="C54" s="19">
        <f>COUNTIFS('Pricing Tracker'!$B$5:$B$274,$B54,'Pricing Tracker'!$D$5:$D$274,"&lt;&gt;")</f>
        <v>5</v>
      </c>
      <c r="D54" s="19">
        <f>COUNTIFS('Pricing Tracker'!$B$5:$B$274,$B54,'Pricing Tracker'!$K$5:$K$274,"Yes")</f>
        <v>0</v>
      </c>
      <c r="E54" s="19">
        <f>COUNTIFS('Pricing Tracker'!$B$5:$B$274,$B54,'Pricing Tracker'!$M$5:$M$274,"Accessed")+COUNTIFS('Pricing Tracker'!$B$5:$B$274,$B54,'Pricing Tracker'!$M$5:$M$274,"Downloaded")</f>
        <v>0</v>
      </c>
      <c r="F54" s="19">
        <f>COUNTIFS('Pricing Tracker'!$B$5:$B$274,$B54,'Pricing Tracker'!$N$5:$N$274,"Ingested")</f>
        <v>0</v>
      </c>
      <c r="G54" s="20">
        <f t="shared" si="4"/>
        <v>0</v>
      </c>
      <c r="H54" s="21" t="str">
        <f>IF(COUNTIFS('Pricing Tracker'!$B$5:$B$274,$B54,'Pricing Tracker'!$O$5:$O$274,"&gt;0")=0,"",SUMPRODUCT(MAX(('Pricing Tracker'!$B$5:$B$274=$B54)*'Pricing Tracker'!$O$5:$O$274)))</f>
        <v/>
      </c>
      <c r="I54" s="19">
        <f>COUNTIFS('Pricing Tracker'!$B$5:$B$274,$B54,'Pricing Tracker'!$S$5:$S$274,"Verified*")</f>
        <v>0</v>
      </c>
    </row>
    <row r="55" spans="1:9" x14ac:dyDescent="0.35">
      <c r="A55" s="14" t="s">
        <v>40</v>
      </c>
      <c r="B55" s="14" t="s">
        <v>351</v>
      </c>
      <c r="C55" s="15">
        <f>COUNTIFS('Pricing Tracker'!$B$5:$B$274,$B55,'Pricing Tracker'!$D$5:$D$274,"&lt;&gt;")</f>
        <v>5</v>
      </c>
      <c r="D55" s="15">
        <f>COUNTIFS('Pricing Tracker'!$B$5:$B$274,$B55,'Pricing Tracker'!$K$5:$K$274,"Yes")</f>
        <v>0</v>
      </c>
      <c r="E55" s="15">
        <f>COUNTIFS('Pricing Tracker'!$B$5:$B$274,$B55,'Pricing Tracker'!$M$5:$M$274,"Accessed")+COUNTIFS('Pricing Tracker'!$B$5:$B$274,$B55,'Pricing Tracker'!$M$5:$M$274,"Downloaded")</f>
        <v>0</v>
      </c>
      <c r="F55" s="15">
        <f>COUNTIFS('Pricing Tracker'!$B$5:$B$274,$B55,'Pricing Tracker'!$N$5:$N$274,"Ingested")</f>
        <v>0</v>
      </c>
      <c r="G55" s="16">
        <f t="shared" si="4"/>
        <v>0</v>
      </c>
      <c r="H55" s="17" t="str">
        <f>IF(COUNTIFS('Pricing Tracker'!$B$5:$B$274,$B55,'Pricing Tracker'!$O$5:$O$274,"&gt;0")=0,"",SUMPRODUCT(MAX(('Pricing Tracker'!$B$5:$B$274=$B55)*'Pricing Tracker'!$O$5:$O$274)))</f>
        <v/>
      </c>
      <c r="I55" s="15">
        <f>COUNTIFS('Pricing Tracker'!$B$5:$B$274,$B55,'Pricing Tracker'!$S$5:$S$274,"Verified*")</f>
        <v>0</v>
      </c>
    </row>
    <row r="56" spans="1:9" x14ac:dyDescent="0.35">
      <c r="A56" s="18" t="s">
        <v>40</v>
      </c>
      <c r="B56" s="18" t="s">
        <v>355</v>
      </c>
      <c r="C56" s="19">
        <f>COUNTIFS('Pricing Tracker'!$B$5:$B$274,$B56,'Pricing Tracker'!$D$5:$D$274,"&lt;&gt;")</f>
        <v>5</v>
      </c>
      <c r="D56" s="19">
        <f>COUNTIFS('Pricing Tracker'!$B$5:$B$274,$B56,'Pricing Tracker'!$K$5:$K$274,"Yes")</f>
        <v>0</v>
      </c>
      <c r="E56" s="19">
        <f>COUNTIFS('Pricing Tracker'!$B$5:$B$274,$B56,'Pricing Tracker'!$M$5:$M$274,"Accessed")+COUNTIFS('Pricing Tracker'!$B$5:$B$274,$B56,'Pricing Tracker'!$M$5:$M$274,"Downloaded")</f>
        <v>0</v>
      </c>
      <c r="F56" s="19">
        <f>COUNTIFS('Pricing Tracker'!$B$5:$B$274,$B56,'Pricing Tracker'!$N$5:$N$274,"Ingested")</f>
        <v>0</v>
      </c>
      <c r="G56" s="20">
        <f t="shared" si="4"/>
        <v>0</v>
      </c>
      <c r="H56" s="21" t="str">
        <f>IF(COUNTIFS('Pricing Tracker'!$B$5:$B$274,$B56,'Pricing Tracker'!$O$5:$O$274,"&gt;0")=0,"",SUMPRODUCT(MAX(('Pricing Tracker'!$B$5:$B$274=$B56)*'Pricing Tracker'!$O$5:$O$274)))</f>
        <v/>
      </c>
      <c r="I56" s="19">
        <f>COUNTIFS('Pricing Tracker'!$B$5:$B$274,$B56,'Pricing Tracker'!$S$5:$S$274,"Verified*")</f>
        <v>0</v>
      </c>
    </row>
    <row r="57" spans="1:9" x14ac:dyDescent="0.35">
      <c r="A57" s="14" t="s">
        <v>40</v>
      </c>
      <c r="B57" s="14" t="s">
        <v>361</v>
      </c>
      <c r="C57" s="15">
        <f>COUNTIFS('Pricing Tracker'!$B$5:$B$274,$B57,'Pricing Tracker'!$D$5:$D$274,"&lt;&gt;")</f>
        <v>5</v>
      </c>
      <c r="D57" s="15">
        <f>COUNTIFS('Pricing Tracker'!$B$5:$B$274,$B57,'Pricing Tracker'!$K$5:$K$274,"Yes")</f>
        <v>0</v>
      </c>
      <c r="E57" s="15">
        <f>COUNTIFS('Pricing Tracker'!$B$5:$B$274,$B57,'Pricing Tracker'!$M$5:$M$274,"Accessed")+COUNTIFS('Pricing Tracker'!$B$5:$B$274,$B57,'Pricing Tracker'!$M$5:$M$274,"Downloaded")</f>
        <v>0</v>
      </c>
      <c r="F57" s="15">
        <f>COUNTIFS('Pricing Tracker'!$B$5:$B$274,$B57,'Pricing Tracker'!$N$5:$N$274,"Ingested")</f>
        <v>0</v>
      </c>
      <c r="G57" s="16">
        <f t="shared" si="4"/>
        <v>0</v>
      </c>
      <c r="H57" s="17" t="str">
        <f>IF(COUNTIFS('Pricing Tracker'!$B$5:$B$274,$B57,'Pricing Tracker'!$O$5:$O$274,"&gt;0")=0,"",SUMPRODUCT(MAX(('Pricing Tracker'!$B$5:$B$274=$B57)*'Pricing Tracker'!$O$5:$O$274)))</f>
        <v/>
      </c>
      <c r="I57" s="15">
        <f>COUNTIFS('Pricing Tracker'!$B$5:$B$274,$B57,'Pricing Tracker'!$S$5:$S$274,"Verified*")</f>
        <v>0</v>
      </c>
    </row>
    <row r="58" spans="1:9" x14ac:dyDescent="0.35">
      <c r="A58" s="18" t="s">
        <v>40</v>
      </c>
      <c r="B58" s="18" t="s">
        <v>365</v>
      </c>
      <c r="C58" s="19">
        <f>COUNTIFS('Pricing Tracker'!$B$5:$B$274,$B58,'Pricing Tracker'!$D$5:$D$274,"&lt;&gt;")</f>
        <v>5</v>
      </c>
      <c r="D58" s="19">
        <f>COUNTIFS('Pricing Tracker'!$B$5:$B$274,$B58,'Pricing Tracker'!$K$5:$K$274,"Yes")</f>
        <v>0</v>
      </c>
      <c r="E58" s="19">
        <f>COUNTIFS('Pricing Tracker'!$B$5:$B$274,$B58,'Pricing Tracker'!$M$5:$M$274,"Accessed")+COUNTIFS('Pricing Tracker'!$B$5:$B$274,$B58,'Pricing Tracker'!$M$5:$M$274,"Downloaded")</f>
        <v>0</v>
      </c>
      <c r="F58" s="19">
        <f>COUNTIFS('Pricing Tracker'!$B$5:$B$274,$B58,'Pricing Tracker'!$N$5:$N$274,"Ingested")</f>
        <v>0</v>
      </c>
      <c r="G58" s="20">
        <f t="shared" si="4"/>
        <v>0</v>
      </c>
      <c r="H58" s="21" t="str">
        <f>IF(COUNTIFS('Pricing Tracker'!$B$5:$B$274,$B58,'Pricing Tracker'!$O$5:$O$274,"&gt;0")=0,"",SUMPRODUCT(MAX(('Pricing Tracker'!$B$5:$B$274=$B58)*'Pricing Tracker'!$O$5:$O$274)))</f>
        <v/>
      </c>
      <c r="I58" s="19">
        <f>COUNTIFS('Pricing Tracker'!$B$5:$B$274,$B58,'Pricing Tracker'!$S$5:$S$274,"Verified*")</f>
        <v>0</v>
      </c>
    </row>
    <row r="59" spans="1:9" x14ac:dyDescent="0.35">
      <c r="A59" s="14" t="s">
        <v>371</v>
      </c>
      <c r="B59" s="14" t="s">
        <v>372</v>
      </c>
      <c r="C59" s="15">
        <f>COUNTIFS('Pricing Tracker'!$B$5:$B$274,$B59,'Pricing Tracker'!$D$5:$D$274,"&lt;&gt;")</f>
        <v>5</v>
      </c>
      <c r="D59" s="15">
        <f>COUNTIFS('Pricing Tracker'!$B$5:$B$274,$B59,'Pricing Tracker'!$K$5:$K$274,"Yes")</f>
        <v>0</v>
      </c>
      <c r="E59" s="15">
        <f>COUNTIFS('Pricing Tracker'!$B$5:$B$274,$B59,'Pricing Tracker'!$M$5:$M$274,"Accessed")+COUNTIFS('Pricing Tracker'!$B$5:$B$274,$B59,'Pricing Tracker'!$M$5:$M$274,"Downloaded")</f>
        <v>0</v>
      </c>
      <c r="F59" s="15">
        <f>COUNTIFS('Pricing Tracker'!$B$5:$B$274,$B59,'Pricing Tracker'!$N$5:$N$274,"Ingested")</f>
        <v>0</v>
      </c>
      <c r="G59" s="16">
        <f t="shared" si="4"/>
        <v>0</v>
      </c>
      <c r="H59" s="17" t="str">
        <f>IF(COUNTIFS('Pricing Tracker'!$B$5:$B$274,$B59,'Pricing Tracker'!$O$5:$O$274,"&gt;0")=0,"",SUMPRODUCT(MAX(('Pricing Tracker'!$B$5:$B$274=$B59)*'Pricing Tracker'!$O$5:$O$274)))</f>
        <v/>
      </c>
      <c r="I59" s="15">
        <f>COUNTIFS('Pricing Tracker'!$B$5:$B$274,$B59,'Pricing Tracker'!$S$5:$S$274,"Verified*")</f>
        <v>0</v>
      </c>
    </row>
    <row r="60" spans="1:9" x14ac:dyDescent="0.35">
      <c r="A60" s="18" t="s">
        <v>371</v>
      </c>
      <c r="B60" s="18" t="s">
        <v>376</v>
      </c>
      <c r="C60" s="19">
        <f>COUNTIFS('Pricing Tracker'!$B$5:$B$274,$B60,'Pricing Tracker'!$D$5:$D$274,"&lt;&gt;")</f>
        <v>5</v>
      </c>
      <c r="D60" s="19">
        <f>COUNTIFS('Pricing Tracker'!$B$5:$B$274,$B60,'Pricing Tracker'!$K$5:$K$274,"Yes")</f>
        <v>0</v>
      </c>
      <c r="E60" s="19">
        <f>COUNTIFS('Pricing Tracker'!$B$5:$B$274,$B60,'Pricing Tracker'!$M$5:$M$274,"Accessed")+COUNTIFS('Pricing Tracker'!$B$5:$B$274,$B60,'Pricing Tracker'!$M$5:$M$274,"Downloaded")</f>
        <v>0</v>
      </c>
      <c r="F60" s="19">
        <f>COUNTIFS('Pricing Tracker'!$B$5:$B$274,$B60,'Pricing Tracker'!$N$5:$N$274,"Ingested")</f>
        <v>0</v>
      </c>
      <c r="G60" s="20">
        <f t="shared" si="4"/>
        <v>0</v>
      </c>
      <c r="H60" s="21" t="str">
        <f>IF(COUNTIFS('Pricing Tracker'!$B$5:$B$274,$B60,'Pricing Tracker'!$O$5:$O$274,"&gt;0")=0,"",SUMPRODUCT(MAX(('Pricing Tracker'!$B$5:$B$274=$B60)*'Pricing Tracker'!$O$5:$O$274)))</f>
        <v/>
      </c>
      <c r="I60" s="19">
        <f>COUNTIFS('Pricing Tracker'!$B$5:$B$274,$B60,'Pricing Tracker'!$S$5:$S$274,"Verified*")</f>
        <v>0</v>
      </c>
    </row>
    <row r="61" spans="1:9" x14ac:dyDescent="0.35">
      <c r="A61" s="14" t="s">
        <v>371</v>
      </c>
      <c r="B61" s="14" t="s">
        <v>382</v>
      </c>
      <c r="C61" s="15">
        <f>COUNTIFS('Pricing Tracker'!$B$5:$B$274,$B61,'Pricing Tracker'!$D$5:$D$274,"&lt;&gt;")</f>
        <v>5</v>
      </c>
      <c r="D61" s="15">
        <f>COUNTIFS('Pricing Tracker'!$B$5:$B$274,$B61,'Pricing Tracker'!$K$5:$K$274,"Yes")</f>
        <v>0</v>
      </c>
      <c r="E61" s="15">
        <f>COUNTIFS('Pricing Tracker'!$B$5:$B$274,$B61,'Pricing Tracker'!$M$5:$M$274,"Accessed")+COUNTIFS('Pricing Tracker'!$B$5:$B$274,$B61,'Pricing Tracker'!$M$5:$M$274,"Downloaded")</f>
        <v>0</v>
      </c>
      <c r="F61" s="15">
        <f>COUNTIFS('Pricing Tracker'!$B$5:$B$274,$B61,'Pricing Tracker'!$N$5:$N$274,"Ingested")</f>
        <v>0</v>
      </c>
      <c r="G61" s="16">
        <f t="shared" si="4"/>
        <v>0</v>
      </c>
      <c r="H61" s="17" t="str">
        <f>IF(COUNTIFS('Pricing Tracker'!$B$5:$B$274,$B61,'Pricing Tracker'!$O$5:$O$274,"&gt;0")=0,"",SUMPRODUCT(MAX(('Pricing Tracker'!$B$5:$B$274=$B61)*'Pricing Tracker'!$O$5:$O$274)))</f>
        <v/>
      </c>
      <c r="I61" s="15">
        <f>COUNTIFS('Pricing Tracker'!$B$5:$B$274,$B61,'Pricing Tracker'!$S$5:$S$274,"Verified*")</f>
        <v>0</v>
      </c>
    </row>
    <row r="62" spans="1:9" x14ac:dyDescent="0.35">
      <c r="A62" s="18" t="s">
        <v>371</v>
      </c>
      <c r="B62" s="18" t="s">
        <v>386</v>
      </c>
      <c r="C62" s="19">
        <f>COUNTIFS('Pricing Tracker'!$B$5:$B$274,$B62,'Pricing Tracker'!$D$5:$D$274,"&lt;&gt;")</f>
        <v>5</v>
      </c>
      <c r="D62" s="19">
        <f>COUNTIFS('Pricing Tracker'!$B$5:$B$274,$B62,'Pricing Tracker'!$K$5:$K$274,"Yes")</f>
        <v>0</v>
      </c>
      <c r="E62" s="19">
        <f>COUNTIFS('Pricing Tracker'!$B$5:$B$274,$B62,'Pricing Tracker'!$M$5:$M$274,"Accessed")+COUNTIFS('Pricing Tracker'!$B$5:$B$274,$B62,'Pricing Tracker'!$M$5:$M$274,"Downloaded")</f>
        <v>0</v>
      </c>
      <c r="F62" s="19">
        <f>COUNTIFS('Pricing Tracker'!$B$5:$B$274,$B62,'Pricing Tracker'!$N$5:$N$274,"Ingested")</f>
        <v>0</v>
      </c>
      <c r="G62" s="20">
        <f t="shared" si="4"/>
        <v>0</v>
      </c>
      <c r="H62" s="21" t="str">
        <f>IF(COUNTIFS('Pricing Tracker'!$B$5:$B$274,$B62,'Pricing Tracker'!$O$5:$O$274,"&gt;0")=0,"",SUMPRODUCT(MAX(('Pricing Tracker'!$B$5:$B$274=$B62)*'Pricing Tracker'!$O$5:$O$274)))</f>
        <v/>
      </c>
      <c r="I62" s="19">
        <f>COUNTIFS('Pricing Tracker'!$B$5:$B$274,$B62,'Pricing Tracker'!$S$5:$S$274,"Verified*")</f>
        <v>0</v>
      </c>
    </row>
    <row r="63" spans="1:9" x14ac:dyDescent="0.35">
      <c r="A63" s="14" t="s">
        <v>371</v>
      </c>
      <c r="B63" s="14" t="s">
        <v>392</v>
      </c>
      <c r="C63" s="15">
        <f>COUNTIFS('Pricing Tracker'!$B$5:$B$274,$B63,'Pricing Tracker'!$D$5:$D$274,"&lt;&gt;")</f>
        <v>5</v>
      </c>
      <c r="D63" s="15">
        <f>COUNTIFS('Pricing Tracker'!$B$5:$B$274,$B63,'Pricing Tracker'!$K$5:$K$274,"Yes")</f>
        <v>0</v>
      </c>
      <c r="E63" s="15">
        <f>COUNTIFS('Pricing Tracker'!$B$5:$B$274,$B63,'Pricing Tracker'!$M$5:$M$274,"Accessed")+COUNTIFS('Pricing Tracker'!$B$5:$B$274,$B63,'Pricing Tracker'!$M$5:$M$274,"Downloaded")</f>
        <v>0</v>
      </c>
      <c r="F63" s="15">
        <f>COUNTIFS('Pricing Tracker'!$B$5:$B$274,$B63,'Pricing Tracker'!$N$5:$N$274,"Ingested")</f>
        <v>0</v>
      </c>
      <c r="G63" s="16">
        <f t="shared" si="4"/>
        <v>0</v>
      </c>
      <c r="H63" s="17" t="str">
        <f>IF(COUNTIFS('Pricing Tracker'!$B$5:$B$274,$B63,'Pricing Tracker'!$O$5:$O$274,"&gt;0")=0,"",SUMPRODUCT(MAX(('Pricing Tracker'!$B$5:$B$274=$B63)*'Pricing Tracker'!$O$5:$O$274)))</f>
        <v/>
      </c>
      <c r="I63" s="15">
        <f>COUNTIFS('Pricing Tracker'!$B$5:$B$274,$B63,'Pricing Tracker'!$S$5:$S$274,"Verified*")</f>
        <v>0</v>
      </c>
    </row>
    <row r="64" spans="1:9" x14ac:dyDescent="0.35">
      <c r="A64" s="18" t="s">
        <v>371</v>
      </c>
      <c r="B64" s="18" t="s">
        <v>397</v>
      </c>
      <c r="C64" s="19">
        <f>COUNTIFS('Pricing Tracker'!$B$5:$B$274,$B64,'Pricing Tracker'!$D$5:$D$274,"&lt;&gt;")</f>
        <v>5</v>
      </c>
      <c r="D64" s="19">
        <f>COUNTIFS('Pricing Tracker'!$B$5:$B$274,$B64,'Pricing Tracker'!$K$5:$K$274,"Yes")</f>
        <v>0</v>
      </c>
      <c r="E64" s="19">
        <f>COUNTIFS('Pricing Tracker'!$B$5:$B$274,$B64,'Pricing Tracker'!$M$5:$M$274,"Accessed")+COUNTIFS('Pricing Tracker'!$B$5:$B$274,$B64,'Pricing Tracker'!$M$5:$M$274,"Downloaded")</f>
        <v>0</v>
      </c>
      <c r="F64" s="19">
        <f>COUNTIFS('Pricing Tracker'!$B$5:$B$274,$B64,'Pricing Tracker'!$N$5:$N$274,"Ingested")</f>
        <v>0</v>
      </c>
      <c r="G64" s="20">
        <f t="shared" si="4"/>
        <v>0</v>
      </c>
      <c r="H64" s="21" t="str">
        <f>IF(COUNTIFS('Pricing Tracker'!$B$5:$B$274,$B64,'Pricing Tracker'!$O$5:$O$274,"&gt;0")=0,"",SUMPRODUCT(MAX(('Pricing Tracker'!$B$5:$B$274=$B64)*'Pricing Tracker'!$O$5:$O$274)))</f>
        <v/>
      </c>
      <c r="I64" s="19">
        <f>COUNTIFS('Pricing Tracker'!$B$5:$B$274,$B64,'Pricing Tracker'!$S$5:$S$274,"Verified*")</f>
        <v>0</v>
      </c>
    </row>
    <row r="65" spans="1:9" x14ac:dyDescent="0.35">
      <c r="A65" s="14" t="s">
        <v>371</v>
      </c>
      <c r="B65" s="14" t="s">
        <v>401</v>
      </c>
      <c r="C65" s="15">
        <f>COUNTIFS('Pricing Tracker'!$B$5:$B$274,$B65,'Pricing Tracker'!$D$5:$D$274,"&lt;&gt;")</f>
        <v>5</v>
      </c>
      <c r="D65" s="15">
        <f>COUNTIFS('Pricing Tracker'!$B$5:$B$274,$B65,'Pricing Tracker'!$K$5:$K$274,"Yes")</f>
        <v>0</v>
      </c>
      <c r="E65" s="15">
        <f>COUNTIFS('Pricing Tracker'!$B$5:$B$274,$B65,'Pricing Tracker'!$M$5:$M$274,"Accessed")+COUNTIFS('Pricing Tracker'!$B$5:$B$274,$B65,'Pricing Tracker'!$M$5:$M$274,"Downloaded")</f>
        <v>0</v>
      </c>
      <c r="F65" s="15">
        <f>COUNTIFS('Pricing Tracker'!$B$5:$B$274,$B65,'Pricing Tracker'!$N$5:$N$274,"Ingested")</f>
        <v>0</v>
      </c>
      <c r="G65" s="16">
        <f t="shared" si="4"/>
        <v>0</v>
      </c>
      <c r="H65" s="17" t="str">
        <f>IF(COUNTIFS('Pricing Tracker'!$B$5:$B$274,$B65,'Pricing Tracker'!$O$5:$O$274,"&gt;0")=0,"",SUMPRODUCT(MAX(('Pricing Tracker'!$B$5:$B$274=$B65)*'Pricing Tracker'!$O$5:$O$274)))</f>
        <v/>
      </c>
      <c r="I65" s="15">
        <f>COUNTIFS('Pricing Tracker'!$B$5:$B$274,$B65,'Pricing Tracker'!$S$5:$S$274,"Verified*")</f>
        <v>0</v>
      </c>
    </row>
    <row r="66" spans="1:9" x14ac:dyDescent="0.35">
      <c r="A66" s="18" t="s">
        <v>371</v>
      </c>
      <c r="B66" s="18" t="s">
        <v>407</v>
      </c>
      <c r="C66" s="19">
        <f>COUNTIFS('Pricing Tracker'!$B$5:$B$274,$B66,'Pricing Tracker'!$D$5:$D$274,"&lt;&gt;")</f>
        <v>5</v>
      </c>
      <c r="D66" s="19">
        <f>COUNTIFS('Pricing Tracker'!$B$5:$B$274,$B66,'Pricing Tracker'!$K$5:$K$274,"Yes")</f>
        <v>0</v>
      </c>
      <c r="E66" s="19">
        <f>COUNTIFS('Pricing Tracker'!$B$5:$B$274,$B66,'Pricing Tracker'!$M$5:$M$274,"Accessed")+COUNTIFS('Pricing Tracker'!$B$5:$B$274,$B66,'Pricing Tracker'!$M$5:$M$274,"Downloaded")</f>
        <v>0</v>
      </c>
      <c r="F66" s="19">
        <f>COUNTIFS('Pricing Tracker'!$B$5:$B$274,$B66,'Pricing Tracker'!$N$5:$N$274,"Ingested")</f>
        <v>0</v>
      </c>
      <c r="G66" s="20">
        <f t="shared" si="4"/>
        <v>0</v>
      </c>
      <c r="H66" s="21" t="str">
        <f>IF(COUNTIFS('Pricing Tracker'!$B$5:$B$274,$B66,'Pricing Tracker'!$O$5:$O$274,"&gt;0")=0,"",SUMPRODUCT(MAX(('Pricing Tracker'!$B$5:$B$274=$B66)*'Pricing Tracker'!$O$5:$O$274)))</f>
        <v/>
      </c>
      <c r="I66" s="19">
        <f>COUNTIFS('Pricing Tracker'!$B$5:$B$274,$B66,'Pricing Tracker'!$S$5:$S$274,"Verified*")</f>
        <v>0</v>
      </c>
    </row>
    <row r="67" spans="1:9" x14ac:dyDescent="0.35">
      <c r="A67" s="14" t="s">
        <v>371</v>
      </c>
      <c r="B67" s="14" t="s">
        <v>426</v>
      </c>
      <c r="C67" s="15">
        <f>COUNTIFS('Pricing Tracker'!$B$5:$B$274,$B67,'Pricing Tracker'!$D$5:$D$274,"&lt;&gt;")</f>
        <v>5</v>
      </c>
      <c r="D67" s="15">
        <f>COUNTIFS('Pricing Tracker'!$B$5:$B$274,$B67,'Pricing Tracker'!$K$5:$K$274,"Yes")</f>
        <v>0</v>
      </c>
      <c r="E67" s="15">
        <f>COUNTIFS('Pricing Tracker'!$B$5:$B$274,$B67,'Pricing Tracker'!$M$5:$M$274,"Accessed")+COUNTIFS('Pricing Tracker'!$B$5:$B$274,$B67,'Pricing Tracker'!$M$5:$M$274,"Downloaded")</f>
        <v>0</v>
      </c>
      <c r="F67" s="15">
        <f>COUNTIFS('Pricing Tracker'!$B$5:$B$274,$B67,'Pricing Tracker'!$N$5:$N$274,"Ingested")</f>
        <v>0</v>
      </c>
      <c r="G67" s="16">
        <f t="shared" si="4"/>
        <v>0</v>
      </c>
      <c r="H67" s="17" t="str">
        <f>IF(COUNTIFS('Pricing Tracker'!$B$5:$B$274,$B67,'Pricing Tracker'!$O$5:$O$274,"&gt;0")=0,"",SUMPRODUCT(MAX(('Pricing Tracker'!$B$5:$B$274=$B67)*'Pricing Tracker'!$O$5:$O$274)))</f>
        <v/>
      </c>
      <c r="I67" s="15">
        <f>COUNTIFS('Pricing Tracker'!$B$5:$B$274,$B67,'Pricing Tracker'!$S$5:$S$274,"Verified*")</f>
        <v>0</v>
      </c>
    </row>
    <row r="68" spans="1:9" x14ac:dyDescent="0.35">
      <c r="A68" s="18" t="s">
        <v>371</v>
      </c>
      <c r="B68" s="18" t="s">
        <v>431</v>
      </c>
      <c r="C68" s="19">
        <f>COUNTIFS('Pricing Tracker'!$B$5:$B$274,$B68,'Pricing Tracker'!$D$5:$D$274,"&lt;&gt;")</f>
        <v>5</v>
      </c>
      <c r="D68" s="19">
        <f>COUNTIFS('Pricing Tracker'!$B$5:$B$274,$B68,'Pricing Tracker'!$K$5:$K$274,"Yes")</f>
        <v>0</v>
      </c>
      <c r="E68" s="19">
        <f>COUNTIFS('Pricing Tracker'!$B$5:$B$274,$B68,'Pricing Tracker'!$M$5:$M$274,"Accessed")+COUNTIFS('Pricing Tracker'!$B$5:$B$274,$B68,'Pricing Tracker'!$M$5:$M$274,"Downloaded")</f>
        <v>0</v>
      </c>
      <c r="F68" s="19">
        <f>COUNTIFS('Pricing Tracker'!$B$5:$B$274,$B68,'Pricing Tracker'!$N$5:$N$274,"Ingested")</f>
        <v>0</v>
      </c>
      <c r="G68" s="20">
        <f t="shared" si="4"/>
        <v>0</v>
      </c>
      <c r="H68" s="21" t="str">
        <f>IF(COUNTIFS('Pricing Tracker'!$B$5:$B$274,$B68,'Pricing Tracker'!$O$5:$O$274,"&gt;0")=0,"",SUMPRODUCT(MAX(('Pricing Tracker'!$B$5:$B$274=$B68)*'Pricing Tracker'!$O$5:$O$274)))</f>
        <v/>
      </c>
      <c r="I68" s="19">
        <f>COUNTIFS('Pricing Tracker'!$B$5:$B$274,$B68,'Pricing Tracker'!$S$5:$S$274,"Verified*")</f>
        <v>0</v>
      </c>
    </row>
  </sheetData>
  <conditionalFormatting sqref="C15:C68">
    <cfRule type="cellIs" dxfId="1" priority="2" operator="equal">
      <formula>5</formula>
    </cfRule>
    <cfRule type="cellIs" dxfId="0" priority="3" operator="equal">
      <formula>0</formula>
    </cfRule>
  </conditionalFormatting>
  <conditionalFormatting sqref="G15:G68">
    <cfRule type="dataBar" priority="4">
      <dataBar>
        <cfvo type="num" val="0"/>
        <cfvo type="num" val="1"/>
        <color rgb="FF5DA959"/>
      </dataBar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BBBBB"/>
  </sheetPr>
  <dimension ref="A1:H10"/>
  <sheetViews>
    <sheetView topLeftCell="A13" zoomScaleNormal="100" workbookViewId="0"/>
  </sheetViews>
  <sheetFormatPr defaultColWidth="8.6328125" defaultRowHeight="14.5" x14ac:dyDescent="0.35"/>
  <cols>
    <col min="1" max="8" width="26" customWidth="1"/>
  </cols>
  <sheetData>
    <row r="1" spans="1:8" x14ac:dyDescent="0.35">
      <c r="A1" s="22" t="s">
        <v>46</v>
      </c>
      <c r="B1" s="22" t="s">
        <v>36</v>
      </c>
      <c r="C1" s="22" t="s">
        <v>52</v>
      </c>
      <c r="D1" s="22" t="s">
        <v>54</v>
      </c>
      <c r="E1" s="22" t="s">
        <v>56</v>
      </c>
      <c r="F1" s="22" t="s">
        <v>30</v>
      </c>
      <c r="G1" s="22" t="s">
        <v>32</v>
      </c>
      <c r="H1" s="22" t="s">
        <v>34</v>
      </c>
    </row>
    <row r="2" spans="1:8" x14ac:dyDescent="0.35">
      <c r="A2" s="23" t="s">
        <v>100</v>
      </c>
      <c r="B2" s="23" t="s">
        <v>453</v>
      </c>
      <c r="C2" s="23" t="s">
        <v>96</v>
      </c>
      <c r="D2" s="23" t="s">
        <v>454</v>
      </c>
      <c r="E2" s="23" t="s">
        <v>455</v>
      </c>
      <c r="F2" s="23" t="s">
        <v>58</v>
      </c>
      <c r="G2" s="23" t="s">
        <v>86</v>
      </c>
      <c r="H2" s="23" t="s">
        <v>60</v>
      </c>
    </row>
    <row r="3" spans="1:8" x14ac:dyDescent="0.35">
      <c r="A3" s="23" t="s">
        <v>47</v>
      </c>
      <c r="B3" s="23" t="s">
        <v>49</v>
      </c>
      <c r="C3" s="23" t="s">
        <v>456</v>
      </c>
      <c r="D3" s="23" t="s">
        <v>55</v>
      </c>
      <c r="E3" s="23" t="s">
        <v>457</v>
      </c>
      <c r="F3" s="23" t="s">
        <v>214</v>
      </c>
      <c r="G3" s="23" t="s">
        <v>59</v>
      </c>
      <c r="H3" s="23" t="s">
        <v>458</v>
      </c>
    </row>
    <row r="4" spans="1:8" x14ac:dyDescent="0.35">
      <c r="A4" s="23" t="s">
        <v>308</v>
      </c>
      <c r="B4" s="23" t="s">
        <v>84</v>
      </c>
      <c r="C4" s="23" t="s">
        <v>53</v>
      </c>
      <c r="D4" s="23" t="s">
        <v>311</v>
      </c>
      <c r="E4" s="23" t="s">
        <v>459</v>
      </c>
      <c r="F4" s="23" t="s">
        <v>460</v>
      </c>
      <c r="G4" s="23" t="s">
        <v>461</v>
      </c>
      <c r="H4" s="23" t="s">
        <v>444</v>
      </c>
    </row>
    <row r="5" spans="1:8" x14ac:dyDescent="0.35">
      <c r="A5" s="23" t="s">
        <v>92</v>
      </c>
      <c r="B5" s="23" t="s">
        <v>94</v>
      </c>
      <c r="C5" s="23" t="s">
        <v>462</v>
      </c>
      <c r="D5" s="23" t="s">
        <v>97</v>
      </c>
      <c r="E5" s="23" t="s">
        <v>57</v>
      </c>
      <c r="F5" s="23" t="s">
        <v>463</v>
      </c>
    </row>
    <row r="6" spans="1:8" x14ac:dyDescent="0.35">
      <c r="A6" s="23" t="s">
        <v>105</v>
      </c>
      <c r="D6" s="23" t="s">
        <v>464</v>
      </c>
      <c r="F6" s="23" t="s">
        <v>465</v>
      </c>
    </row>
    <row r="7" spans="1:8" x14ac:dyDescent="0.35">
      <c r="A7" s="23" t="s">
        <v>466</v>
      </c>
      <c r="D7" s="23" t="s">
        <v>467</v>
      </c>
    </row>
    <row r="8" spans="1:8" x14ac:dyDescent="0.35">
      <c r="A8" s="23" t="s">
        <v>413</v>
      </c>
      <c r="D8" s="23" t="s">
        <v>57</v>
      </c>
    </row>
    <row r="9" spans="1:8" x14ac:dyDescent="0.35">
      <c r="A9" s="23" t="s">
        <v>468</v>
      </c>
    </row>
    <row r="10" spans="1:8" x14ac:dyDescent="0.35">
      <c r="A10" s="23" t="s">
        <v>469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tabSelected="1" workbookViewId="0">
      <pane ySplit="1" topLeftCell="A2" activePane="bottomLeft" state="frozen"/>
      <selection pane="bottomLeft" activeCell="B13" sqref="B13"/>
    </sheetView>
  </sheetViews>
  <sheetFormatPr defaultRowHeight="14.5" x14ac:dyDescent="0.35"/>
  <cols>
    <col min="1" max="1" width="28" customWidth="1"/>
    <col min="2" max="2" width="120" customWidth="1"/>
  </cols>
  <sheetData>
    <row r="1" spans="1:2" ht="34" customHeight="1" x14ac:dyDescent="0.35">
      <c r="A1" s="37" t="s">
        <v>0</v>
      </c>
      <c r="B1" s="37" t="s">
        <v>1</v>
      </c>
    </row>
    <row r="2" spans="1:2" x14ac:dyDescent="0.35">
      <c r="A2" s="35" t="s">
        <v>2</v>
      </c>
      <c r="B2" s="35" t="s">
        <v>3</v>
      </c>
    </row>
    <row r="3" spans="1:2" x14ac:dyDescent="0.35">
      <c r="A3" s="35" t="s">
        <v>4</v>
      </c>
      <c r="B3" s="35" t="s">
        <v>780</v>
      </c>
    </row>
    <row r="4" spans="1:2" ht="29" x14ac:dyDescent="0.35">
      <c r="A4" s="35" t="s">
        <v>5</v>
      </c>
      <c r="B4" s="35" t="s">
        <v>6</v>
      </c>
    </row>
    <row r="5" spans="1:2" ht="29" x14ac:dyDescent="0.35">
      <c r="A5" s="35" t="s">
        <v>790</v>
      </c>
      <c r="B5" s="53" t="s">
        <v>791</v>
      </c>
    </row>
    <row r="6" spans="1:2" s="49" customFormat="1" ht="29" x14ac:dyDescent="0.35">
      <c r="A6" s="48" t="s">
        <v>7</v>
      </c>
      <c r="B6" s="48" t="s">
        <v>8</v>
      </c>
    </row>
    <row r="7" spans="1:2" ht="29" x14ac:dyDescent="0.35">
      <c r="A7" s="55" t="s">
        <v>792</v>
      </c>
      <c r="B7" s="53" t="s">
        <v>9</v>
      </c>
    </row>
    <row r="8" spans="1:2" s="57" customFormat="1" ht="29" x14ac:dyDescent="0.35">
      <c r="A8" s="56" t="s">
        <v>793</v>
      </c>
      <c r="B8" s="56" t="s">
        <v>10</v>
      </c>
    </row>
    <row r="9" spans="1:2" s="58" customFormat="1" x14ac:dyDescent="0.35">
      <c r="A9" s="54" t="s">
        <v>11</v>
      </c>
      <c r="B9" s="54" t="s">
        <v>794</v>
      </c>
    </row>
  </sheetData>
  <autoFilter ref="A1:B9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4"/>
  <sheetViews>
    <sheetView workbookViewId="0">
      <pane ySplit="1" topLeftCell="A2" activePane="bottomLeft" state="frozen"/>
      <selection pane="bottomLeft" activeCell="B24" sqref="B24"/>
    </sheetView>
  </sheetViews>
  <sheetFormatPr defaultRowHeight="14.5" x14ac:dyDescent="0.35"/>
  <cols>
    <col min="1" max="1" width="13" customWidth="1"/>
    <col min="2" max="2" width="18" customWidth="1"/>
    <col min="3" max="3" width="31" customWidth="1"/>
    <col min="4" max="4" width="48" customWidth="1"/>
    <col min="5" max="5" width="52" customWidth="1"/>
    <col min="6" max="6" width="65" customWidth="1"/>
    <col min="7" max="7" width="24" customWidth="1"/>
    <col min="8" max="8" width="13" customWidth="1"/>
    <col min="9" max="9" width="52" customWidth="1"/>
    <col min="10" max="11" width="30" customWidth="1"/>
    <col min="12" max="12" width="65" customWidth="1"/>
  </cols>
  <sheetData>
    <row r="1" spans="1:12" ht="34" customHeight="1" x14ac:dyDescent="0.35">
      <c r="A1" s="37" t="s">
        <v>79</v>
      </c>
      <c r="B1" s="37" t="s">
        <v>470</v>
      </c>
      <c r="C1" s="37" t="s">
        <v>471</v>
      </c>
      <c r="D1" s="37" t="s">
        <v>472</v>
      </c>
      <c r="E1" s="37" t="s">
        <v>473</v>
      </c>
      <c r="F1" s="37" t="s">
        <v>474</v>
      </c>
      <c r="G1" s="37" t="s">
        <v>475</v>
      </c>
      <c r="H1" s="37" t="s">
        <v>476</v>
      </c>
      <c r="I1" s="37" t="s">
        <v>477</v>
      </c>
      <c r="J1" s="37" t="s">
        <v>478</v>
      </c>
      <c r="K1" s="37" t="s">
        <v>479</v>
      </c>
      <c r="L1" s="37" t="s">
        <v>480</v>
      </c>
    </row>
    <row r="2" spans="1:12" ht="29" x14ac:dyDescent="0.35">
      <c r="A2" s="35" t="s">
        <v>481</v>
      </c>
      <c r="B2" s="35" t="s">
        <v>407</v>
      </c>
      <c r="C2" s="35" t="s">
        <v>482</v>
      </c>
      <c r="D2" s="35" t="s">
        <v>483</v>
      </c>
      <c r="E2" s="35" t="s">
        <v>484</v>
      </c>
      <c r="F2" s="35" t="s">
        <v>485</v>
      </c>
      <c r="G2" s="35" t="s">
        <v>486</v>
      </c>
      <c r="H2" s="35" t="s">
        <v>487</v>
      </c>
      <c r="I2" s="35" t="s">
        <v>488</v>
      </c>
      <c r="J2" s="35" t="s">
        <v>489</v>
      </c>
      <c r="K2" s="35" t="s">
        <v>490</v>
      </c>
      <c r="L2" s="35" t="s">
        <v>491</v>
      </c>
    </row>
    <row r="3" spans="1:12" ht="29" x14ac:dyDescent="0.35">
      <c r="A3" s="35" t="s">
        <v>481</v>
      </c>
      <c r="B3" s="35" t="s">
        <v>407</v>
      </c>
      <c r="C3" s="35" t="s">
        <v>482</v>
      </c>
      <c r="D3" s="35" t="s">
        <v>492</v>
      </c>
      <c r="E3" s="35" t="s">
        <v>493</v>
      </c>
      <c r="F3" s="35" t="s">
        <v>494</v>
      </c>
      <c r="G3" s="35" t="s">
        <v>495</v>
      </c>
      <c r="H3" s="35" t="s">
        <v>496</v>
      </c>
      <c r="I3" s="35" t="s">
        <v>497</v>
      </c>
      <c r="J3" s="35" t="s">
        <v>498</v>
      </c>
      <c r="K3" s="35" t="s">
        <v>499</v>
      </c>
      <c r="L3" s="35" t="s">
        <v>500</v>
      </c>
    </row>
    <row r="4" spans="1:12" ht="29" x14ac:dyDescent="0.35">
      <c r="A4" s="35" t="s">
        <v>481</v>
      </c>
      <c r="B4" s="35" t="s">
        <v>407</v>
      </c>
      <c r="C4" s="35" t="s">
        <v>482</v>
      </c>
      <c r="D4" s="35" t="s">
        <v>501</v>
      </c>
      <c r="E4" s="35" t="s">
        <v>502</v>
      </c>
      <c r="F4" s="35" t="s">
        <v>503</v>
      </c>
      <c r="G4" s="35" t="s">
        <v>504</v>
      </c>
      <c r="H4" s="35" t="s">
        <v>496</v>
      </c>
      <c r="I4" s="35" t="s">
        <v>505</v>
      </c>
      <c r="J4" s="35" t="s">
        <v>58</v>
      </c>
      <c r="K4" s="35" t="s">
        <v>504</v>
      </c>
      <c r="L4" s="35" t="s">
        <v>506</v>
      </c>
    </row>
    <row r="5" spans="1:12" ht="43.5" x14ac:dyDescent="0.35">
      <c r="A5" s="35" t="s">
        <v>507</v>
      </c>
      <c r="B5" s="35" t="s">
        <v>407</v>
      </c>
      <c r="C5" s="35" t="s">
        <v>508</v>
      </c>
      <c r="D5" s="35" t="s">
        <v>509</v>
      </c>
      <c r="E5" s="35" t="s">
        <v>510</v>
      </c>
      <c r="F5" s="35" t="s">
        <v>511</v>
      </c>
      <c r="G5" s="35" t="s">
        <v>512</v>
      </c>
      <c r="H5" s="35" t="s">
        <v>487</v>
      </c>
      <c r="I5" s="35" t="s">
        <v>513</v>
      </c>
      <c r="J5" s="35" t="s">
        <v>514</v>
      </c>
      <c r="K5" s="35" t="s">
        <v>490</v>
      </c>
      <c r="L5" s="35" t="s">
        <v>515</v>
      </c>
    </row>
    <row r="6" spans="1:12" ht="29" x14ac:dyDescent="0.35">
      <c r="A6" s="35" t="s">
        <v>507</v>
      </c>
      <c r="B6" s="35" t="s">
        <v>407</v>
      </c>
      <c r="C6" s="35" t="s">
        <v>508</v>
      </c>
      <c r="D6" s="35" t="s">
        <v>516</v>
      </c>
      <c r="E6" s="35" t="s">
        <v>517</v>
      </c>
      <c r="F6" s="35" t="s">
        <v>518</v>
      </c>
      <c r="G6" s="35" t="s">
        <v>519</v>
      </c>
      <c r="H6" s="35" t="s">
        <v>487</v>
      </c>
      <c r="I6" s="35" t="s">
        <v>520</v>
      </c>
      <c r="J6" s="35" t="s">
        <v>521</v>
      </c>
      <c r="K6" s="35" t="s">
        <v>522</v>
      </c>
      <c r="L6" s="35" t="s">
        <v>523</v>
      </c>
    </row>
    <row r="7" spans="1:12" ht="29" x14ac:dyDescent="0.35">
      <c r="A7" s="35" t="s">
        <v>507</v>
      </c>
      <c r="B7" s="35" t="s">
        <v>407</v>
      </c>
      <c r="C7" s="35" t="s">
        <v>508</v>
      </c>
      <c r="D7" s="35" t="s">
        <v>524</v>
      </c>
      <c r="E7" s="35" t="s">
        <v>525</v>
      </c>
      <c r="F7" s="35" t="s">
        <v>485</v>
      </c>
      <c r="G7" s="35" t="s">
        <v>526</v>
      </c>
      <c r="H7" s="35" t="s">
        <v>487</v>
      </c>
      <c r="I7" s="35" t="s">
        <v>527</v>
      </c>
      <c r="J7" s="35" t="s">
        <v>489</v>
      </c>
      <c r="K7" s="35" t="s">
        <v>490</v>
      </c>
      <c r="L7" s="35" t="s">
        <v>528</v>
      </c>
    </row>
    <row r="8" spans="1:12" ht="29" x14ac:dyDescent="0.35">
      <c r="A8" s="35" t="s">
        <v>529</v>
      </c>
      <c r="B8" s="35" t="s">
        <v>201</v>
      </c>
      <c r="C8" s="35" t="s">
        <v>530</v>
      </c>
      <c r="D8" s="35" t="s">
        <v>531</v>
      </c>
      <c r="E8" s="35" t="s">
        <v>532</v>
      </c>
      <c r="F8" s="35" t="s">
        <v>533</v>
      </c>
      <c r="G8" s="35" t="s">
        <v>534</v>
      </c>
      <c r="H8" s="35" t="s">
        <v>487</v>
      </c>
      <c r="I8" s="35" t="s">
        <v>535</v>
      </c>
      <c r="J8" s="35" t="s">
        <v>536</v>
      </c>
      <c r="K8" s="35" t="s">
        <v>537</v>
      </c>
      <c r="L8" s="35" t="s">
        <v>538</v>
      </c>
    </row>
    <row r="9" spans="1:12" ht="29" x14ac:dyDescent="0.35">
      <c r="A9" s="35" t="s">
        <v>529</v>
      </c>
      <c r="B9" s="35" t="s">
        <v>201</v>
      </c>
      <c r="C9" s="35" t="s">
        <v>530</v>
      </c>
      <c r="D9" s="35" t="s">
        <v>539</v>
      </c>
      <c r="E9" s="35" t="s">
        <v>540</v>
      </c>
      <c r="F9" s="35" t="s">
        <v>541</v>
      </c>
      <c r="G9" s="35" t="s">
        <v>542</v>
      </c>
      <c r="H9" s="35" t="s">
        <v>487</v>
      </c>
      <c r="I9" s="35" t="s">
        <v>543</v>
      </c>
      <c r="J9" s="35" t="s">
        <v>544</v>
      </c>
      <c r="K9" s="35" t="s">
        <v>545</v>
      </c>
      <c r="L9" s="35" t="s">
        <v>546</v>
      </c>
    </row>
    <row r="10" spans="1:12" ht="29" x14ac:dyDescent="0.35">
      <c r="A10" s="35" t="s">
        <v>529</v>
      </c>
      <c r="B10" s="35" t="s">
        <v>201</v>
      </c>
      <c r="C10" s="35" t="s">
        <v>530</v>
      </c>
      <c r="D10" s="35" t="s">
        <v>547</v>
      </c>
      <c r="E10" s="35" t="s">
        <v>548</v>
      </c>
      <c r="F10" s="35" t="s">
        <v>549</v>
      </c>
      <c r="G10" s="35" t="s">
        <v>550</v>
      </c>
      <c r="H10" s="35" t="s">
        <v>496</v>
      </c>
      <c r="I10" s="35" t="s">
        <v>551</v>
      </c>
      <c r="J10" s="35" t="s">
        <v>552</v>
      </c>
      <c r="K10" s="35" t="s">
        <v>553</v>
      </c>
      <c r="L10" s="35" t="s">
        <v>554</v>
      </c>
    </row>
    <row r="11" spans="1:12" ht="29" x14ac:dyDescent="0.35">
      <c r="A11" s="35" t="s">
        <v>529</v>
      </c>
      <c r="B11" s="35" t="s">
        <v>201</v>
      </c>
      <c r="C11" s="35" t="s">
        <v>530</v>
      </c>
      <c r="D11" s="35" t="s">
        <v>555</v>
      </c>
      <c r="E11" s="35" t="s">
        <v>556</v>
      </c>
      <c r="F11" s="35" t="s">
        <v>557</v>
      </c>
      <c r="G11" s="35" t="s">
        <v>558</v>
      </c>
      <c r="H11" s="35" t="s">
        <v>496</v>
      </c>
      <c r="I11" s="35" t="s">
        <v>559</v>
      </c>
      <c r="J11" s="35" t="s">
        <v>560</v>
      </c>
      <c r="K11" s="35" t="s">
        <v>561</v>
      </c>
      <c r="L11" s="35" t="s">
        <v>562</v>
      </c>
    </row>
    <row r="12" spans="1:12" ht="29" x14ac:dyDescent="0.35">
      <c r="A12" s="35" t="s">
        <v>529</v>
      </c>
      <c r="B12" s="35" t="s">
        <v>201</v>
      </c>
      <c r="C12" s="35" t="s">
        <v>530</v>
      </c>
      <c r="D12" s="35" t="s">
        <v>563</v>
      </c>
      <c r="E12" s="35" t="s">
        <v>564</v>
      </c>
      <c r="F12" s="35" t="s">
        <v>565</v>
      </c>
      <c r="G12" s="35" t="s">
        <v>566</v>
      </c>
      <c r="H12" s="35" t="s">
        <v>496</v>
      </c>
      <c r="I12" s="35" t="s">
        <v>567</v>
      </c>
      <c r="J12" s="35" t="s">
        <v>568</v>
      </c>
      <c r="K12" s="35" t="s">
        <v>569</v>
      </c>
      <c r="L12" s="35" t="s">
        <v>570</v>
      </c>
    </row>
    <row r="13" spans="1:12" ht="29" x14ac:dyDescent="0.35">
      <c r="A13" s="35" t="s">
        <v>571</v>
      </c>
      <c r="B13" s="35" t="s">
        <v>42</v>
      </c>
      <c r="C13" s="35" t="s">
        <v>572</v>
      </c>
      <c r="D13" s="35" t="s">
        <v>573</v>
      </c>
      <c r="E13" s="35" t="s">
        <v>574</v>
      </c>
      <c r="F13" s="35" t="s">
        <v>575</v>
      </c>
      <c r="G13" s="35" t="s">
        <v>576</v>
      </c>
      <c r="H13" s="35" t="s">
        <v>487</v>
      </c>
      <c r="I13" s="35" t="s">
        <v>577</v>
      </c>
      <c r="J13" s="35" t="s">
        <v>578</v>
      </c>
      <c r="K13" s="35" t="s">
        <v>579</v>
      </c>
      <c r="L13" s="35" t="s">
        <v>580</v>
      </c>
    </row>
    <row r="14" spans="1:12" ht="29" x14ac:dyDescent="0.35">
      <c r="A14" s="35" t="s">
        <v>571</v>
      </c>
      <c r="B14" s="35" t="s">
        <v>42</v>
      </c>
      <c r="C14" s="35" t="s">
        <v>572</v>
      </c>
      <c r="D14" s="35" t="s">
        <v>581</v>
      </c>
      <c r="E14" s="35" t="s">
        <v>582</v>
      </c>
      <c r="F14" s="35" t="s">
        <v>583</v>
      </c>
      <c r="G14" s="35" t="s">
        <v>576</v>
      </c>
      <c r="H14" s="35" t="s">
        <v>487</v>
      </c>
      <c r="I14" s="35" t="s">
        <v>584</v>
      </c>
      <c r="J14" s="35" t="s">
        <v>578</v>
      </c>
      <c r="K14" s="35" t="s">
        <v>579</v>
      </c>
      <c r="L14" s="35" t="s">
        <v>585</v>
      </c>
    </row>
    <row r="15" spans="1:12" ht="29" x14ac:dyDescent="0.35">
      <c r="A15" s="35" t="s">
        <v>571</v>
      </c>
      <c r="B15" s="35" t="s">
        <v>42</v>
      </c>
      <c r="C15" s="35" t="s">
        <v>572</v>
      </c>
      <c r="D15" s="35" t="s">
        <v>586</v>
      </c>
      <c r="E15" s="35" t="s">
        <v>587</v>
      </c>
      <c r="F15" s="35" t="s">
        <v>588</v>
      </c>
      <c r="G15" s="35" t="s">
        <v>589</v>
      </c>
      <c r="H15" s="35" t="s">
        <v>496</v>
      </c>
      <c r="I15" s="35" t="s">
        <v>590</v>
      </c>
      <c r="J15" s="35" t="s">
        <v>591</v>
      </c>
      <c r="K15" s="35" t="s">
        <v>579</v>
      </c>
      <c r="L15" s="35" t="s">
        <v>592</v>
      </c>
    </row>
    <row r="16" spans="1:12" ht="29" x14ac:dyDescent="0.35">
      <c r="A16" s="35" t="s">
        <v>571</v>
      </c>
      <c r="B16" s="35" t="s">
        <v>42</v>
      </c>
      <c r="C16" s="35" t="s">
        <v>572</v>
      </c>
      <c r="D16" s="35" t="s">
        <v>305</v>
      </c>
      <c r="E16" s="35" t="s">
        <v>593</v>
      </c>
      <c r="F16" s="35" t="s">
        <v>594</v>
      </c>
      <c r="G16" s="35" t="s">
        <v>595</v>
      </c>
      <c r="H16" s="35" t="s">
        <v>487</v>
      </c>
      <c r="I16" s="35" t="s">
        <v>596</v>
      </c>
      <c r="J16" s="35" t="s">
        <v>597</v>
      </c>
      <c r="K16" s="35" t="s">
        <v>598</v>
      </c>
      <c r="L16" s="35" t="s">
        <v>599</v>
      </c>
    </row>
    <row r="17" spans="1:12" ht="29" x14ac:dyDescent="0.35">
      <c r="A17" s="35" t="s">
        <v>571</v>
      </c>
      <c r="B17" s="35" t="s">
        <v>42</v>
      </c>
      <c r="C17" s="35" t="s">
        <v>572</v>
      </c>
      <c r="D17" s="35" t="s">
        <v>600</v>
      </c>
      <c r="E17" s="35" t="s">
        <v>601</v>
      </c>
      <c r="F17" s="35" t="s">
        <v>503</v>
      </c>
      <c r="G17" s="35" t="s">
        <v>504</v>
      </c>
      <c r="H17" s="35" t="s">
        <v>496</v>
      </c>
      <c r="I17" s="35" t="s">
        <v>602</v>
      </c>
      <c r="J17" s="35" t="s">
        <v>58</v>
      </c>
      <c r="K17" s="35" t="s">
        <v>504</v>
      </c>
      <c r="L17" s="35" t="s">
        <v>603</v>
      </c>
    </row>
    <row r="18" spans="1:12" ht="29" x14ac:dyDescent="0.35">
      <c r="A18" s="35" t="s">
        <v>604</v>
      </c>
      <c r="B18" s="35" t="s">
        <v>605</v>
      </c>
      <c r="C18" s="35" t="s">
        <v>606</v>
      </c>
      <c r="D18" s="35" t="s">
        <v>607</v>
      </c>
      <c r="E18" s="35" t="s">
        <v>608</v>
      </c>
      <c r="F18" s="35" t="s">
        <v>206</v>
      </c>
      <c r="G18" s="35" t="s">
        <v>609</v>
      </c>
      <c r="H18" s="35" t="s">
        <v>487</v>
      </c>
      <c r="I18" s="35" t="s">
        <v>610</v>
      </c>
      <c r="J18" s="35" t="s">
        <v>611</v>
      </c>
      <c r="K18" s="35" t="s">
        <v>490</v>
      </c>
      <c r="L18" s="35" t="s">
        <v>612</v>
      </c>
    </row>
    <row r="19" spans="1:12" ht="29" x14ac:dyDescent="0.35">
      <c r="A19" s="35" t="s">
        <v>604</v>
      </c>
      <c r="B19" s="35" t="s">
        <v>605</v>
      </c>
      <c r="C19" s="35" t="s">
        <v>606</v>
      </c>
      <c r="D19" s="35" t="s">
        <v>613</v>
      </c>
      <c r="E19" s="35" t="s">
        <v>614</v>
      </c>
      <c r="F19" s="35" t="s">
        <v>503</v>
      </c>
      <c r="G19" s="35" t="s">
        <v>615</v>
      </c>
      <c r="H19" s="35" t="s">
        <v>487</v>
      </c>
      <c r="I19" s="35" t="s">
        <v>616</v>
      </c>
      <c r="J19" s="35" t="s">
        <v>58</v>
      </c>
      <c r="K19" s="35" t="s">
        <v>504</v>
      </c>
      <c r="L19" s="35" t="s">
        <v>617</v>
      </c>
    </row>
    <row r="20" spans="1:12" ht="43.5" x14ac:dyDescent="0.35">
      <c r="A20" s="35" t="s">
        <v>604</v>
      </c>
      <c r="B20" s="35" t="s">
        <v>605</v>
      </c>
      <c r="C20" s="35" t="s">
        <v>606</v>
      </c>
      <c r="D20" s="35" t="s">
        <v>563</v>
      </c>
      <c r="E20" s="35" t="s">
        <v>618</v>
      </c>
      <c r="F20" s="35" t="s">
        <v>565</v>
      </c>
      <c r="G20" s="35" t="s">
        <v>619</v>
      </c>
      <c r="H20" s="35" t="s">
        <v>496</v>
      </c>
      <c r="I20" s="35" t="s">
        <v>620</v>
      </c>
      <c r="J20" s="35" t="s">
        <v>621</v>
      </c>
      <c r="K20" s="35" t="s">
        <v>622</v>
      </c>
      <c r="L20" s="35" t="s">
        <v>623</v>
      </c>
    </row>
    <row r="21" spans="1:12" ht="29" x14ac:dyDescent="0.35">
      <c r="A21" s="35" t="s">
        <v>604</v>
      </c>
      <c r="B21" s="35" t="s">
        <v>605</v>
      </c>
      <c r="C21" s="35" t="s">
        <v>606</v>
      </c>
      <c r="D21" s="35" t="s">
        <v>624</v>
      </c>
      <c r="E21" s="35" t="s">
        <v>625</v>
      </c>
      <c r="F21" s="35" t="s">
        <v>626</v>
      </c>
      <c r="G21" s="35" t="s">
        <v>627</v>
      </c>
      <c r="H21" s="35" t="s">
        <v>496</v>
      </c>
      <c r="I21" s="35" t="s">
        <v>628</v>
      </c>
      <c r="J21" s="35" t="s">
        <v>629</v>
      </c>
      <c r="K21" s="35" t="s">
        <v>630</v>
      </c>
      <c r="L21" s="35" t="s">
        <v>631</v>
      </c>
    </row>
    <row r="22" spans="1:12" ht="29" x14ac:dyDescent="0.35">
      <c r="A22" s="35" t="s">
        <v>604</v>
      </c>
      <c r="B22" s="35" t="s">
        <v>605</v>
      </c>
      <c r="C22" s="35" t="s">
        <v>632</v>
      </c>
      <c r="D22" s="35" t="s">
        <v>633</v>
      </c>
      <c r="E22" s="35" t="s">
        <v>634</v>
      </c>
      <c r="F22" s="35" t="s">
        <v>635</v>
      </c>
      <c r="G22" s="35" t="s">
        <v>636</v>
      </c>
      <c r="H22" s="35" t="s">
        <v>637</v>
      </c>
      <c r="I22" s="35" t="s">
        <v>638</v>
      </c>
      <c r="J22" s="35" t="s">
        <v>639</v>
      </c>
      <c r="K22" s="35" t="s">
        <v>640</v>
      </c>
      <c r="L22" s="35" t="s">
        <v>641</v>
      </c>
    </row>
    <row r="23" spans="1:12" ht="29" x14ac:dyDescent="0.35">
      <c r="A23" s="35" t="s">
        <v>604</v>
      </c>
      <c r="B23" s="35" t="s">
        <v>605</v>
      </c>
      <c r="C23" s="35" t="s">
        <v>632</v>
      </c>
      <c r="D23" s="35" t="s">
        <v>642</v>
      </c>
      <c r="E23" s="35" t="s">
        <v>643</v>
      </c>
      <c r="F23" s="35" t="s">
        <v>644</v>
      </c>
      <c r="G23" s="35" t="s">
        <v>636</v>
      </c>
      <c r="H23" s="35" t="s">
        <v>637</v>
      </c>
      <c r="I23" s="35" t="s">
        <v>645</v>
      </c>
      <c r="J23" s="35" t="s">
        <v>646</v>
      </c>
      <c r="K23" s="35" t="s">
        <v>647</v>
      </c>
      <c r="L23" s="35" t="s">
        <v>648</v>
      </c>
    </row>
    <row r="24" spans="1:12" ht="29" x14ac:dyDescent="0.35">
      <c r="A24" s="35" t="s">
        <v>201</v>
      </c>
      <c r="B24" s="35" t="s">
        <v>201</v>
      </c>
      <c r="C24" s="35" t="s">
        <v>649</v>
      </c>
      <c r="D24" s="35" t="s">
        <v>650</v>
      </c>
      <c r="E24" s="35" t="s">
        <v>651</v>
      </c>
      <c r="F24" s="35" t="s">
        <v>652</v>
      </c>
      <c r="G24" s="35" t="s">
        <v>653</v>
      </c>
      <c r="H24" s="35" t="s">
        <v>496</v>
      </c>
      <c r="I24" s="35" t="s">
        <v>654</v>
      </c>
      <c r="J24" s="35" t="s">
        <v>655</v>
      </c>
      <c r="K24" s="35" t="s">
        <v>656</v>
      </c>
      <c r="L24" s="35" t="s">
        <v>657</v>
      </c>
    </row>
  </sheetData>
  <autoFilter ref="A1:L24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36" customWidth="1"/>
    <col min="3" max="3" width="30" customWidth="1"/>
    <col min="4" max="4" width="58" customWidth="1"/>
    <col min="5" max="5" width="75" customWidth="1"/>
    <col min="6" max="6" width="38" customWidth="1"/>
    <col min="7" max="7" width="13" customWidth="1"/>
    <col min="8" max="8" width="72" customWidth="1"/>
  </cols>
  <sheetData>
    <row r="1" spans="1:8" ht="34" customHeight="1" x14ac:dyDescent="0.35">
      <c r="A1" s="37" t="s">
        <v>658</v>
      </c>
      <c r="B1" s="37" t="s">
        <v>659</v>
      </c>
      <c r="C1" s="37" t="s">
        <v>660</v>
      </c>
      <c r="D1" s="37" t="s">
        <v>661</v>
      </c>
      <c r="E1" s="37" t="s">
        <v>662</v>
      </c>
      <c r="F1" s="37" t="s">
        <v>663</v>
      </c>
      <c r="G1" s="37" t="s">
        <v>476</v>
      </c>
      <c r="H1" s="37" t="s">
        <v>664</v>
      </c>
    </row>
    <row r="2" spans="1:8" ht="29" x14ac:dyDescent="0.35">
      <c r="A2" s="35" t="s">
        <v>481</v>
      </c>
      <c r="B2" s="35" t="s">
        <v>665</v>
      </c>
      <c r="C2" s="35" t="s">
        <v>666</v>
      </c>
      <c r="D2" s="35" t="s">
        <v>667</v>
      </c>
      <c r="E2" s="35" t="s">
        <v>668</v>
      </c>
      <c r="F2" s="35" t="s">
        <v>669</v>
      </c>
      <c r="G2" s="35" t="s">
        <v>487</v>
      </c>
      <c r="H2" s="35" t="s">
        <v>670</v>
      </c>
    </row>
    <row r="3" spans="1:8" ht="29" x14ac:dyDescent="0.35">
      <c r="A3" s="35" t="s">
        <v>507</v>
      </c>
      <c r="B3" s="35" t="s">
        <v>671</v>
      </c>
      <c r="C3" s="35" t="s">
        <v>672</v>
      </c>
      <c r="D3" s="35" t="s">
        <v>673</v>
      </c>
      <c r="E3" s="35" t="s">
        <v>674</v>
      </c>
      <c r="F3" s="35" t="s">
        <v>675</v>
      </c>
      <c r="G3" s="35" t="s">
        <v>487</v>
      </c>
      <c r="H3" s="35" t="s">
        <v>676</v>
      </c>
    </row>
    <row r="4" spans="1:8" ht="29" x14ac:dyDescent="0.35">
      <c r="A4" s="35" t="s">
        <v>529</v>
      </c>
      <c r="B4" s="35" t="s">
        <v>677</v>
      </c>
      <c r="C4" s="35" t="s">
        <v>678</v>
      </c>
      <c r="D4" s="35" t="s">
        <v>679</v>
      </c>
      <c r="E4" s="35" t="s">
        <v>680</v>
      </c>
      <c r="F4" s="35" t="s">
        <v>681</v>
      </c>
      <c r="G4" s="35" t="s">
        <v>487</v>
      </c>
      <c r="H4" s="35" t="s">
        <v>682</v>
      </c>
    </row>
    <row r="5" spans="1:8" ht="29" x14ac:dyDescent="0.35">
      <c r="A5" s="35" t="s">
        <v>571</v>
      </c>
      <c r="B5" s="35" t="s">
        <v>42</v>
      </c>
      <c r="C5" s="35" t="s">
        <v>683</v>
      </c>
      <c r="D5" s="35" t="s">
        <v>684</v>
      </c>
      <c r="E5" s="35" t="s">
        <v>685</v>
      </c>
      <c r="F5" s="35" t="s">
        <v>686</v>
      </c>
      <c r="G5" s="35" t="s">
        <v>487</v>
      </c>
      <c r="H5" s="35" t="s">
        <v>687</v>
      </c>
    </row>
    <row r="6" spans="1:8" ht="29" x14ac:dyDescent="0.35">
      <c r="A6" s="35" t="s">
        <v>688</v>
      </c>
      <c r="B6" s="35" t="s">
        <v>604</v>
      </c>
      <c r="C6" s="35" t="s">
        <v>689</v>
      </c>
      <c r="D6" s="35" t="s">
        <v>690</v>
      </c>
      <c r="E6" s="35" t="s">
        <v>691</v>
      </c>
      <c r="F6" s="35" t="s">
        <v>692</v>
      </c>
      <c r="G6" s="35" t="s">
        <v>487</v>
      </c>
      <c r="H6" s="35" t="s">
        <v>693</v>
      </c>
    </row>
  </sheetData>
  <autoFilter ref="A1:H6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"/>
  <sheetViews>
    <sheetView workbookViewId="0">
      <pane ySplit="1" topLeftCell="A2" activePane="bottomLeft" state="frozen"/>
      <selection pane="bottomLeft" activeCell="C4" sqref="C4"/>
    </sheetView>
  </sheetViews>
  <sheetFormatPr defaultRowHeight="14.5" x14ac:dyDescent="0.35"/>
  <cols>
    <col min="1" max="1" width="12" customWidth="1"/>
    <col min="2" max="2" width="26" customWidth="1"/>
    <col min="3" max="3" width="80" customWidth="1"/>
    <col min="4" max="4" width="55" customWidth="1"/>
    <col min="5" max="5" width="24" customWidth="1"/>
    <col min="6" max="6" width="18" customWidth="1"/>
    <col min="7" max="7" width="72" customWidth="1"/>
  </cols>
  <sheetData>
    <row r="1" spans="1:8" ht="34" customHeight="1" x14ac:dyDescent="0.35">
      <c r="A1" s="37" t="s">
        <v>476</v>
      </c>
      <c r="B1" s="37" t="s">
        <v>79</v>
      </c>
      <c r="C1" s="37" t="s">
        <v>694</v>
      </c>
      <c r="D1" s="37" t="s">
        <v>695</v>
      </c>
      <c r="E1" s="37" t="s">
        <v>696</v>
      </c>
      <c r="F1" s="37" t="s">
        <v>697</v>
      </c>
      <c r="G1" s="37" t="s">
        <v>64</v>
      </c>
      <c r="H1" s="50" t="s">
        <v>783</v>
      </c>
    </row>
    <row r="2" spans="1:8" s="52" customFormat="1" ht="29" x14ac:dyDescent="0.35">
      <c r="A2" s="51" t="s">
        <v>698</v>
      </c>
      <c r="B2" s="51" t="s">
        <v>699</v>
      </c>
      <c r="C2" s="51" t="s">
        <v>700</v>
      </c>
      <c r="D2" s="51" t="s">
        <v>701</v>
      </c>
      <c r="E2" s="51" t="s">
        <v>782</v>
      </c>
      <c r="F2" s="51" t="s">
        <v>66</v>
      </c>
      <c r="G2" s="51" t="s">
        <v>787</v>
      </c>
    </row>
    <row r="3" spans="1:8" s="52" customFormat="1" x14ac:dyDescent="0.35">
      <c r="A3" s="51" t="s">
        <v>702</v>
      </c>
      <c r="B3" s="51" t="s">
        <v>788</v>
      </c>
      <c r="C3" s="51" t="s">
        <v>784</v>
      </c>
      <c r="D3" s="51" t="s">
        <v>701</v>
      </c>
      <c r="E3" s="51" t="s">
        <v>785</v>
      </c>
      <c r="F3" s="51" t="s">
        <v>66</v>
      </c>
      <c r="G3" s="51" t="s">
        <v>786</v>
      </c>
    </row>
    <row r="4" spans="1:8" ht="29" x14ac:dyDescent="0.35">
      <c r="A4" s="35" t="s">
        <v>707</v>
      </c>
      <c r="B4" s="35" t="s">
        <v>703</v>
      </c>
      <c r="C4" s="35" t="s">
        <v>704</v>
      </c>
      <c r="D4" s="35" t="s">
        <v>705</v>
      </c>
      <c r="E4" s="35" t="s">
        <v>487</v>
      </c>
      <c r="F4" s="35" t="s">
        <v>66</v>
      </c>
      <c r="G4" s="35" t="s">
        <v>706</v>
      </c>
    </row>
    <row r="5" spans="1:8" ht="29" x14ac:dyDescent="0.35">
      <c r="A5" s="35" t="s">
        <v>712</v>
      </c>
      <c r="B5" s="35" t="s">
        <v>708</v>
      </c>
      <c r="C5" s="35" t="s">
        <v>709</v>
      </c>
      <c r="D5" s="35" t="s">
        <v>710</v>
      </c>
      <c r="E5" s="35" t="s">
        <v>487</v>
      </c>
      <c r="F5" s="35" t="s">
        <v>66</v>
      </c>
      <c r="G5" s="35" t="s">
        <v>711</v>
      </c>
    </row>
    <row r="6" spans="1:8" ht="29" x14ac:dyDescent="0.35">
      <c r="A6" s="35" t="s">
        <v>717</v>
      </c>
      <c r="B6" s="35" t="s">
        <v>713</v>
      </c>
      <c r="C6" s="35" t="s">
        <v>714</v>
      </c>
      <c r="D6" s="35" t="s">
        <v>715</v>
      </c>
      <c r="E6" s="35" t="s">
        <v>487</v>
      </c>
      <c r="F6" s="35" t="s">
        <v>66</v>
      </c>
      <c r="G6" s="35" t="s">
        <v>716</v>
      </c>
    </row>
    <row r="7" spans="1:8" ht="29" x14ac:dyDescent="0.35">
      <c r="A7" s="35" t="s">
        <v>722</v>
      </c>
      <c r="B7" s="35" t="s">
        <v>718</v>
      </c>
      <c r="C7" s="35" t="s">
        <v>719</v>
      </c>
      <c r="D7" s="35" t="s">
        <v>720</v>
      </c>
      <c r="E7" s="35" t="s">
        <v>487</v>
      </c>
      <c r="F7" s="35" t="s">
        <v>66</v>
      </c>
      <c r="G7" s="35" t="s">
        <v>721</v>
      </c>
    </row>
    <row r="8" spans="1:8" ht="29" x14ac:dyDescent="0.35">
      <c r="A8" s="35" t="s">
        <v>725</v>
      </c>
      <c r="B8" s="35" t="s">
        <v>688</v>
      </c>
      <c r="C8" s="35" t="s">
        <v>723</v>
      </c>
      <c r="D8" s="35" t="s">
        <v>724</v>
      </c>
      <c r="E8" s="35" t="s">
        <v>487</v>
      </c>
      <c r="F8" s="35" t="s">
        <v>66</v>
      </c>
      <c r="G8" s="35" t="s">
        <v>781</v>
      </c>
    </row>
    <row r="9" spans="1:8" ht="29" x14ac:dyDescent="0.35">
      <c r="A9" s="35" t="s">
        <v>730</v>
      </c>
      <c r="B9" s="35" t="s">
        <v>726</v>
      </c>
      <c r="C9" s="35" t="s">
        <v>727</v>
      </c>
      <c r="D9" s="35" t="s">
        <v>728</v>
      </c>
      <c r="E9" s="35" t="s">
        <v>487</v>
      </c>
      <c r="F9" s="35" t="s">
        <v>66</v>
      </c>
      <c r="G9" s="35" t="s">
        <v>729</v>
      </c>
    </row>
    <row r="10" spans="1:8" ht="29" x14ac:dyDescent="0.35">
      <c r="A10" s="35" t="s">
        <v>735</v>
      </c>
      <c r="B10" s="35" t="s">
        <v>731</v>
      </c>
      <c r="C10" s="35" t="s">
        <v>732</v>
      </c>
      <c r="D10" s="35" t="s">
        <v>733</v>
      </c>
      <c r="E10" s="35" t="s">
        <v>487</v>
      </c>
      <c r="F10" s="35" t="s">
        <v>66</v>
      </c>
      <c r="G10" s="35" t="s">
        <v>734</v>
      </c>
    </row>
    <row r="11" spans="1:8" ht="29" x14ac:dyDescent="0.35">
      <c r="A11" s="35" t="s">
        <v>740</v>
      </c>
      <c r="B11" s="35" t="s">
        <v>736</v>
      </c>
      <c r="C11" s="35" t="s">
        <v>737</v>
      </c>
      <c r="D11" s="35" t="s">
        <v>738</v>
      </c>
      <c r="E11" s="35" t="s">
        <v>487</v>
      </c>
      <c r="F11" s="35" t="s">
        <v>66</v>
      </c>
      <c r="G11" s="35" t="s">
        <v>739</v>
      </c>
    </row>
    <row r="12" spans="1:8" ht="29" x14ac:dyDescent="0.35">
      <c r="A12" s="35" t="s">
        <v>789</v>
      </c>
      <c r="B12" s="35" t="s">
        <v>741</v>
      </c>
      <c r="C12" s="35" t="s">
        <v>742</v>
      </c>
      <c r="D12" s="35" t="s">
        <v>743</v>
      </c>
      <c r="E12" s="35" t="s">
        <v>496</v>
      </c>
      <c r="F12" s="35" t="s">
        <v>66</v>
      </c>
      <c r="G12" s="35" t="s">
        <v>744</v>
      </c>
    </row>
  </sheetData>
  <autoFilter ref="A1:G12" xr:uid="{00000000-0009-0000-0000-000007000000}"/>
  <phoneticPr fontId="24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"/>
  <sheetViews>
    <sheetView workbookViewId="0">
      <pane ySplit="1" topLeftCell="A2" activePane="bottomLeft" state="frozen"/>
      <selection pane="bottomLeft" activeCell="C6" sqref="C6"/>
    </sheetView>
  </sheetViews>
  <sheetFormatPr defaultRowHeight="14.5" x14ac:dyDescent="0.35"/>
  <cols>
    <col min="1" max="1" width="16" customWidth="1"/>
    <col min="2" max="2" width="32" customWidth="1"/>
    <col min="3" max="3" width="65" customWidth="1"/>
    <col min="4" max="4" width="75" customWidth="1"/>
    <col min="5" max="5" width="52" customWidth="1"/>
    <col min="6" max="6" width="48" customWidth="1"/>
    <col min="7" max="7" width="70" customWidth="1"/>
  </cols>
  <sheetData>
    <row r="1" spans="1:7" ht="34" customHeight="1" x14ac:dyDescent="0.35">
      <c r="A1" s="37" t="s">
        <v>745</v>
      </c>
      <c r="B1" s="37" t="s">
        <v>746</v>
      </c>
      <c r="C1" s="37" t="s">
        <v>747</v>
      </c>
      <c r="D1" s="37" t="s">
        <v>748</v>
      </c>
      <c r="E1" s="37" t="s">
        <v>749</v>
      </c>
      <c r="F1" s="37" t="s">
        <v>750</v>
      </c>
      <c r="G1" s="37" t="s">
        <v>751</v>
      </c>
    </row>
    <row r="2" spans="1:7" ht="29" x14ac:dyDescent="0.35">
      <c r="A2" s="35" t="s">
        <v>752</v>
      </c>
      <c r="B2" s="35" t="s">
        <v>753</v>
      </c>
      <c r="C2" s="35" t="s">
        <v>754</v>
      </c>
      <c r="D2" s="35" t="s">
        <v>755</v>
      </c>
      <c r="E2" s="35" t="s">
        <v>756</v>
      </c>
      <c r="F2" s="35" t="s">
        <v>757</v>
      </c>
      <c r="G2" s="35" t="s">
        <v>758</v>
      </c>
    </row>
    <row r="3" spans="1:7" ht="43.5" x14ac:dyDescent="0.35">
      <c r="A3" s="35" t="s">
        <v>752</v>
      </c>
      <c r="B3" s="35" t="s">
        <v>759</v>
      </c>
      <c r="C3" s="35" t="s">
        <v>760</v>
      </c>
      <c r="D3" s="35" t="s">
        <v>761</v>
      </c>
      <c r="E3" s="35" t="s">
        <v>762</v>
      </c>
      <c r="F3" s="35" t="s">
        <v>763</v>
      </c>
      <c r="G3" s="35" t="s">
        <v>764</v>
      </c>
    </row>
    <row r="4" spans="1:7" ht="29" x14ac:dyDescent="0.35">
      <c r="A4" s="35" t="s">
        <v>752</v>
      </c>
      <c r="B4" s="35" t="s">
        <v>765</v>
      </c>
      <c r="C4" s="35" t="s">
        <v>565</v>
      </c>
      <c r="D4" s="35" t="s">
        <v>766</v>
      </c>
      <c r="E4" s="35" t="s">
        <v>767</v>
      </c>
      <c r="F4" s="35" t="s">
        <v>768</v>
      </c>
      <c r="G4" s="35" t="s">
        <v>769</v>
      </c>
    </row>
    <row r="5" spans="1:7" ht="29" x14ac:dyDescent="0.35">
      <c r="A5" s="35" t="s">
        <v>752</v>
      </c>
      <c r="B5" s="35" t="s">
        <v>770</v>
      </c>
      <c r="C5" s="35" t="s">
        <v>533</v>
      </c>
      <c r="D5" s="35" t="s">
        <v>771</v>
      </c>
      <c r="E5" s="35" t="s">
        <v>772</v>
      </c>
      <c r="F5" s="35" t="s">
        <v>773</v>
      </c>
      <c r="G5" s="35" t="s">
        <v>774</v>
      </c>
    </row>
    <row r="6" spans="1:7" ht="29" x14ac:dyDescent="0.35">
      <c r="A6" s="35" t="s">
        <v>752</v>
      </c>
      <c r="B6" s="35" t="s">
        <v>775</v>
      </c>
      <c r="C6" s="35" t="s">
        <v>83</v>
      </c>
      <c r="D6" s="35" t="s">
        <v>776</v>
      </c>
      <c r="E6" s="35" t="s">
        <v>777</v>
      </c>
      <c r="F6" s="35" t="s">
        <v>778</v>
      </c>
      <c r="G6" s="35" t="s">
        <v>779</v>
      </c>
    </row>
  </sheetData>
  <autoFilter ref="A1:G6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Guide</vt:lpstr>
      <vt:lpstr>Pricing Tracker</vt:lpstr>
      <vt:lpstr>Summary</vt:lpstr>
      <vt:lpstr>Lists</vt:lpstr>
      <vt:lpstr>Start Here - Daniel</vt:lpstr>
      <vt:lpstr>Farm Lover Team Source Register</vt:lpstr>
      <vt:lpstr>Partner Workstreams</vt:lpstr>
      <vt:lpstr>Ingestion Backlog</vt:lpstr>
      <vt:lpstr>Research Evidence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Farm Lover + OpenTrace Africa Data Source Tracker</dc:title>
  <dc:subject>Source validation and ingestion workstreams</dc:subject>
  <dc:creator>Daniel;Daniel Wondyifraw</dc:creator>
  <cp:keywords>Data Engineering</cp:keywords>
  <cp:lastModifiedBy>Daniel Wondyifraw</cp:lastModifiedBy>
  <cp:revision>0</cp:revision>
  <dcterms:created xsi:type="dcterms:W3CDTF">2026-10-18T17:56:24Z</dcterms:created>
  <dcterms:modified xsi:type="dcterms:W3CDTF">2026-10-18T23:13:48Z</dcterms:modified>
  <dc:language>en-US</dc:language>
</cp:coreProperties>
</file>