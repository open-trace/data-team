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d13edb2e3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0a619de2d94309"/>
    <x:sheet xmlns:r="http://schemas.openxmlformats.org/officeDocument/2006/relationships" name="Source Registry" sheetId="2" r:id="R7d2a892d15724ff8"/>
    <x:sheet xmlns:r="http://schemas.openxmlformats.org/officeDocument/2006/relationships" name="Source Test" sheetId="3" r:id="Rb7bda968f1584c1a"/>
    <x:sheet xmlns:r="http://schemas.openxmlformats.org/officeDocument/2006/relationships" name="Actual Price Samples" sheetId="4" r:id="Rec95f9dc3da24225"/>
    <x:sheet xmlns:r="http://schemas.openxmlformats.org/officeDocument/2006/relationships" name="Four Groups" sheetId="5" r:id="R084025843706442c"/>
    <x:sheet xmlns:r="http://schemas.openxmlformats.org/officeDocument/2006/relationships" name="Crop Coverage" sheetId="6" r:id="R18013fd4c40d44d9"/>
    <x:sheet xmlns:r="http://schemas.openxmlformats.org/officeDocument/2006/relationships" name="Download Extract Log" sheetId="7" r:id="Re20dd26d907a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F766E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b/>
      <x:sz val="13"/>
      <x:color rgb="FF0F766E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1"/>
      <x:color rgb="FFD97706"/>
      <x:name val="Carlito"/>
    </x:font>
    <x:font>
      <x:b/>
      <x:sz val="10"/>
      <x:color rgb="FFFFFFFF"/>
      <x:name val="Carlito"/>
    </x:font>
    <x:font>
      <x:sz val="10"/>
      <x:color rgb="FF1D4ED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6FFFB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FAFAFA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horizontal="center" vertical="top"/>
    </x:xf>
    <x:xf numFmtId="0" fontId="6" fillId="2" borderId="1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horizont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center" vertical="top" wrapText="1"/>
    </x:xf>
    <x:xf numFmtId="0" fontId="9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ill>
        <x:patternFill patternType="solid">
          <x:bgColor rgb="FFDCFCE7"/>
        </x:patternFill>
      </x:fill>
    </x:dxf>
    <x:dxf>
      <x:fill>
        <x:patternFill patternType="solid">
          <x:bgColor rgb="FFFFF7ED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FF7ED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894e0871943ac" /><Relationship Type="http://schemas.openxmlformats.org/officeDocument/2006/relationships/theme" Target="/xl/theme/theme1.xml" Id="R7a7005ffdcb34b51" /><Relationship Type="http://schemas.openxmlformats.org/officeDocument/2006/relationships/sharedStrings" Target="/xl/sharedStrings.xml" Id="R4ced0e076e994a1e" /><Relationship Type="http://schemas.openxmlformats.org/officeDocument/2006/relationships/worksheet" Target="/xl/worksheets/sheet1.xml" Id="Rd30a619de2d94309" /><Relationship Type="http://schemas.openxmlformats.org/officeDocument/2006/relationships/worksheet" Target="/xl/worksheets/sheet2.xml" Id="R7d2a892d15724ff8" /><Relationship Type="http://schemas.openxmlformats.org/officeDocument/2006/relationships/worksheet" Target="/xl/worksheets/sheet3.xml" Id="Rb7bda968f1584c1a" /><Relationship Type="http://schemas.openxmlformats.org/officeDocument/2006/relationships/worksheet" Target="/xl/worksheets/sheet4.xml" Id="Rec95f9dc3da24225" /><Relationship Type="http://schemas.openxmlformats.org/officeDocument/2006/relationships/worksheet" Target="/xl/worksheets/sheet5.xml" Id="R084025843706442c" /><Relationship Type="http://schemas.openxmlformats.org/officeDocument/2006/relationships/worksheet" Target="/xl/worksheets/sheet6.xml" Id="R18013fd4c40d44d9" /><Relationship Type="http://schemas.openxmlformats.org/officeDocument/2006/relationships/worksheet" Target="/xl/worksheets/sheet7.xml" Id="Re20dd26d907a4dee" /></Relationships>
</file>

<file path=xl/tables/table1.xml><?xml version="1.0" encoding="utf-8"?>
<x:table xmlns:x="http://schemas.openxmlformats.org/spreadsheetml/2006/main" id="1" name="SourceRegistry" displayName="SourceRegistry" ref="A1:N44" headerRowCount="1" totalsRowCount="0" totalsRowShown="0">
  <x:tableColumns count="14">
    <x:tableColumn id="1" name="Group"/>
    <x:tableColumn id="2" name="Country"/>
    <x:tableColumn id="3" name="Geography"/>
    <x:tableColumn id="4" name="Dataset / source"/>
    <x:tableColumn id="5" name="Commodity / coverage"/>
    <x:tableColumn id="6" name="Source"/>
    <x:tableColumn id="7" name="Source link"/>
    <x:tableColumn id="8" name="Short description"/>
    <x:tableColumn id="9" name="Access"/>
    <x:tableColumn id="10" name="Frequency"/>
    <x:tableColumn id="11" name="Status"/>
    <x:tableColumn id="12" name="Download / extract"/>
    <x:tableColumn id="13" name="Test / remark"/>
    <x:tableColumn id="14" name="BigQuery / handof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Test" displayName="SourceTest" ref="A1:K21" headerRowCount="1" totalsRowCount="0" totalsRowShown="0">
  <x:tableColumns count="11">
    <x:tableColumn id="1" name="Source"/>
    <x:tableColumn id="2" name="Test ID"/>
    <x:tableColumn id="3" name="Status"/>
    <x:tableColumn id="4" name="HTTP"/>
    <x:tableColumn id="5" name="Frequency"/>
    <x:tableColumn id="6" name="Auth"/>
    <x:tableColumn id="7" name="URL"/>
    <x:tableColumn id="8" name="Access / format"/>
    <x:tableColumn id="9" name="Observed date / version"/>
    <x:tableColumn id="10" name="Status tag"/>
    <x:tableColumn id="11" name="Remar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ualPriceSamples" displayName="ActualPriceSamples" ref="A1:P94" headerRowCount="1" totalsRowCount="0" totalsRowShown="0">
  <x:tableColumns count="16">
    <x:tableColumn id="1" name="Group"/>
    <x:tableColumn id="2" name="Country"/>
    <x:tableColumn id="3" name="Geography"/>
    <x:tableColumn id="4" name="Commodity"/>
    <x:tableColumn id="5" name="Variety"/>
    <x:tableColumn id="6" name="Price"/>
    <x:tableColumn id="7" name="Currency"/>
    <x:tableColumn id="8" name="Unit"/>
    <x:tableColumn id="9" name="Price type"/>
    <x:tableColumn id="10" name="Date"/>
    <x:tableColumn id="11" name="Source"/>
    <x:tableColumn id="12" name="Source link"/>
    <x:tableColumn id="13" name="Raw basis / extra"/>
    <x:tableColumn id="14" name="Derived"/>
    <x:tableColumn id="15" name="Freshness"/>
    <x:tableColumn id="16" name="Remar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urGroups" displayName="FourGroups" ref="A1:H5" headerRowCount="1" totalsRowCount="0" totalsRowShown="0">
  <x:tableColumns count="8">
    <x:tableColumn id="1" name="#"/>
    <x:tableColumn id="2" name="Group"/>
    <x:tableColumn id="3" name="Country"/>
    <x:tableColumn id="4" name="Geography"/>
    <x:tableColumn id="5" name="Data need"/>
    <x:tableColumn id="6" name="What to collect"/>
    <x:tableColumn id="7" name="What we have now"/>
    <x:tableColumn id="8" name="Gap / remar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ropCoverage" displayName="CropCoverage" ref="A1:G22" headerRowCount="1" totalsRowCount="0" totalsRowShown="0">
  <x:tableColumns count="7">
    <x:tableColumn id="1" name="Commodity"/>
    <x:tableColumn id="2" name="Type"/>
    <x:tableColumn id="3" name="Planned source"/>
    <x:tableColumn id="4" name="Update freq"/>
    <x:tableColumn id="5" name="BigQuery method"/>
    <x:tableColumn id="6" name="Actual sample status"/>
    <x:tableColumn id="7" name="Evidence / gap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ownloadExtractLog" displayName="DownloadExtractLog" ref="A1:E8" headerRowCount="1" totalsRowCount="0" totalsRowShown="0">
  <x:tableColumns count="5">
    <x:tableColumn id="1" name="Source / file"/>
    <x:tableColumn id="2" name="URL"/>
    <x:tableColumn id="3" name="Format"/>
    <x:tableColumn id="4" name="What we did"/>
    <x:tableColumn id="5" name="Rem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46360f4b6947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3287d9c01445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3a75ed0af145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95f64ba4bb4e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51d644b4fc45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26ed0a3d0b465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4" max="4" width="3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40" t="str">
        <x:v>Africa Agricultural Price Research — Evidence Pack</x:v>
      </x:c>
      <x:c r="B1" s="41"/>
      <x:c r="C1" s="41"/>
      <x:c r="D1" s="41"/>
      <x:c r="E1" s="41"/>
      <x:c r="F1" s="41"/>
      <x:c r="G1" s="41"/>
      <x:c r="H1" s="41"/>
    </x:row>
    <x:row r="2">
      <x:c r="A2" s="42" t="str">
        <x:v>Practical source search → test → extract/download → sample prices → remarks for blocked sources</x:v>
      </x:c>
      <x:c r="B2" s="41"/>
      <x:c r="C2" s="41"/>
      <x:c r="D2" s="41"/>
      <x:c r="E2" s="41"/>
      <x:c r="F2" s="41"/>
      <x:c r="G2" s="41"/>
      <x:c r="H2" s="41"/>
    </x:row>
    <x:row r="3">
      <x:c r="A3" s="41"/>
      <x:c r="B3" s="41"/>
      <x:c r="C3" s="41"/>
      <x:c r="D3" s="41"/>
      <x:c r="E3" s="41"/>
      <x:c r="F3" s="41"/>
      <x:c r="G3" s="41"/>
      <x:c r="H3" s="41"/>
    </x:row>
    <x:row r="4" ht="26" customHeight="1">
      <x:c r="A4" s="43" t="str">
        <x:v>Source 2 planned commodity rows</x:v>
      </x:c>
      <x:c r="B4" s="44" t="n">
        <x:v>21</x:v>
      </x:c>
      <x:c r="C4" s="41"/>
      <x:c r="D4" s="45" t="str">
        <x:v>What this pack proves</x:v>
      </x:c>
      <x:c r="E4" s="45"/>
      <x:c r="F4" s="45"/>
      <x:c r="G4" s="45"/>
      <x:c r="H4" s="45"/>
    </x:row>
    <x:row r="5" ht="26" customHeight="1">
      <x:c r="A5" s="43" t="str">
        <x:v>Partner groups</x:v>
      </x:c>
      <x:c r="B5" s="44" t="n">
        <x:v>4</x:v>
      </x:c>
      <x:c r="C5" s="41"/>
      <x:c r="D5" s="46" t="str">
        <x:v>1. Sources in the team workbook were treated as candidates, not assumed to work.</x:v>
      </x:c>
      <x:c r="E5" s="46"/>
      <x:c r="F5" s="46"/>
      <x:c r="G5" s="46"/>
      <x:c r="H5" s="46"/>
    </x:row>
    <x:row r="6" ht="26" customHeight="1">
      <x:c r="A6" s="43" t="str">
        <x:v>Source registry rows</x:v>
      </x:c>
      <x:c r="B6" s="44" t="n">
        <x:f>COUNTA('Source Registry'!A2:A1000)</x:f>
        <x:v>43</x:v>
      </x:c>
      <x:c r="C6" s="41"/>
      <x:c r="D6" s="46" t="str">
        <x:v>2. Public sources were tested; working sources have actual price samples here.</x:v>
      </x:c>
      <x:c r="E6" s="46"/>
      <x:c r="F6" s="46"/>
      <x:c r="G6" s="46"/>
      <x:c r="H6" s="46"/>
    </x:row>
    <x:row r="7" ht="26" customHeight="1">
      <x:c r="A7" s="43" t="str">
        <x:v>Actual price sample rows</x:v>
      </x:c>
      <x:c r="B7" s="44" t="n">
        <x:f>COUNTA('Actual Price Samples'!A2:A1000)</x:f>
        <x:v>93</x:v>
      </x:c>
      <x:c r="C7" s="41"/>
      <x:c r="D7" s="46" t="str">
        <x:v>3. Downloadable/structured sources are captured separately from portal-only or credential-gated sources.</x:v>
      </x:c>
      <x:c r="E7" s="46"/>
      <x:c r="F7" s="46"/>
      <x:c r="G7" s="46"/>
      <x:c r="H7" s="46"/>
    </x:row>
    <x:row r="8" ht="26" customHeight="1">
      <x:c r="A8" s="43" t="str">
        <x:v>Primary live / extractable sources</x:v>
      </x:c>
      <x:c r="B8" s="44" t="n">
        <x:f>COUNTIF('Source Test'!J2:J1000,"LIVE")</x:f>
        <x:v>8</x:v>
      </x:c>
      <x:c r="C8" s="41"/>
      <x:c r="D8" s="46" t="str">
        <x:v>4. Problems are recorded as remarks instead of being hidden.</x:v>
      </x:c>
      <x:c r="E8" s="46"/>
      <x:c r="F8" s="46"/>
      <x:c r="G8" s="46"/>
      <x:c r="H8" s="46"/>
    </x:row>
    <x:row r="9" ht="26" customHeight="1">
      <x:c r="A9" s="43" t="str">
        <x:v>Blocked / inaccessible / gated sources</x:v>
      </x:c>
      <x:c r="B9" s="44" t="n">
        <x:f>COUNTIF('Source Test'!J2:J1000,"AUTH_REQUIRED")+COUNTIF('Source Test'!J2:J1000,"METADATA_ONLY")+COUNTIF('Source Test'!J2:J1000,"DEAD")+COUNTIF('Source Test'!J2:J1000,"NO_PUBLIC_API")+COUNTIF('Source Test'!J2:J1000,"DOWN")</x:f>
        <x:v>11</x:v>
      </x:c>
      <x:c r="C9" s="41"/>
      <x:c r="D9" s="46" t="str">
        <x:v>5. The final sample table keeps original units and labels derived values clearly.</x:v>
      </x:c>
      <x:c r="E9" s="46"/>
      <x:c r="F9" s="46"/>
      <x:c r="G9" s="46"/>
      <x:c r="H9" s="46"/>
    </x:row>
    <x:row r="10" ht="26" customHeight="1">
      <x:c r="A10" s="43" t="str">
        <x:v>21-crop list with any actual sample</x:v>
      </x:c>
      <x:c r="B10" s="44" t="n">
        <x:v>21</x:v>
      </x:c>
      <x:c r="C10" s="41"/>
      <x:c r="D10" s="41"/>
      <x:c r="E10" s="41"/>
      <x:c r="F10" s="41"/>
      <x:c r="G10" s="41"/>
      <x:c r="H10" s="41"/>
    </x:row>
    <x:row r="11" ht="26" customHeight="1">
      <x:c r="A11" s="41"/>
      <x:c r="B11" s="41"/>
      <x:c r="C11" s="41"/>
      <x:c r="D11" s="41"/>
      <x:c r="E11" s="41"/>
      <x:c r="F11" s="41"/>
      <x:c r="G11" s="41"/>
      <x:c r="H11" s="41"/>
    </x:row>
    <x:row r="12" ht="26" customHeight="1">
      <x:c r="A12" s="47" t="str">
        <x:v>Partner focus: KZN vegetables • Gauteng vegetables • Nigeria farmers (Abuja / Edo / Benue / Delta) • Kenya fruit farmers (banana / avocado)</x:v>
      </x:c>
      <x:c r="B12" s="41"/>
      <x:c r="C12" s="41"/>
      <x:c r="D12" s="41"/>
      <x:c r="E12" s="41"/>
      <x:c r="F12" s="41"/>
      <x:c r="G12" s="41"/>
      <x:c r="H12" s="41"/>
    </x:row>
    <x:row r="13">
      <x:c r="A13" s="41"/>
      <x:c r="B13" s="41"/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6" hidden="0" customWidth="1"/>
    <x:col min="4" max="4" width="34" hidden="0" customWidth="1"/>
    <x:col min="5" max="5" width="38" hidden="0" customWidth="1"/>
    <x:col min="6" max="6" width="28" hidden="0" customWidth="1"/>
    <x:col min="7" max="7" width="55" hidden="0" customWidth="1"/>
    <x:col min="8" max="8" width="44" hidden="0" customWidth="1"/>
    <x:col min="9" max="9" width="24" hidden="0" customWidth="1"/>
    <x:col min="10" max="10" width="18" hidden="0" customWidth="1"/>
    <x:col min="11" max="11" width="28" hidden="0" customWidth="1"/>
    <x:col min="12" max="12" width="22" hidden="0" customWidth="1"/>
    <x:col min="13" max="13" width="58" hidden="0" customWidth="1"/>
    <x:col min="14" max="14" width="42" hidden="0" customWidth="1"/>
  </x:cols>
  <x:sheetData>
    <x:row r="1" ht="28" customHeight="1">
      <x:c r="A1" s="74" t="str">
        <x:v>Group</x:v>
      </x:c>
      <x:c r="B1" s="74" t="str">
        <x:v>Country</x:v>
      </x:c>
      <x:c r="C1" s="74" t="str">
        <x:v>Geography</x:v>
      </x:c>
      <x:c r="D1" s="74" t="str">
        <x:v>Dataset / source</x:v>
      </x:c>
      <x:c r="E1" s="74" t="str">
        <x:v>Commodity / coverage</x:v>
      </x:c>
      <x:c r="F1" s="74" t="str">
        <x:v>Source</x:v>
      </x:c>
      <x:c r="G1" s="74" t="str">
        <x:v>Source link</x:v>
      </x:c>
      <x:c r="H1" s="74" t="str">
        <x:v>Short description</x:v>
      </x:c>
      <x:c r="I1" s="74" t="str">
        <x:v>Access</x:v>
      </x:c>
      <x:c r="J1" s="74" t="str">
        <x:v>Frequency</x:v>
      </x:c>
      <x:c r="K1" s="74" t="str">
        <x:v>Status</x:v>
      </x:c>
      <x:c r="L1" s="74" t="str">
        <x:v>Download / extract</x:v>
      </x:c>
      <x:c r="M1" s="74" t="str">
        <x:v>Test / remark</x:v>
      </x:c>
      <x:c r="N1" s="74" t="str">
        <x:v>BigQuery / handoff</x:v>
      </x:c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64" t="str">
        <x:v>Source 2 workbook</x:v>
      </x:c>
      <x:c r="B2" s="64" t="str">
        <x:v>Various</x:v>
      </x:c>
      <x:c r="C2" s="64" t="str">
        <x:v>Multiple / Africa + Global</x:v>
      </x:c>
      <x:c r="D2" s="64" t="str">
        <x:v>Yam</x:v>
      </x:c>
      <x:c r="E2" s="64" t="str">
        <x:v>Yam</x:v>
      </x:c>
      <x:c r="F2" s="64" t="str">
        <x:v>World Bank HFCP (daily crowdsourced) / WFP DataBridges</x:v>
      </x:c>
      <x:c r="G2" s="66" t="str">
        <x:v>https://microdata.worldbank.org/catalog/8197</x:v>
      </x:c>
      <x:c r="H2" s="64" t="str">
        <x:v>Tuber (staple); proposed in Source 2 workbook.</x:v>
      </x:c>
      <x:c r="I2" s="64" t="str">
        <x:v>As listed in Source 2</x:v>
      </x:c>
      <x:c r="J2" s="64" t="str">
        <x:v>As listed</x:v>
      </x:c>
      <x:c r="K2" s="64" t="str">
        <x:v>Planned / needs validation</x:v>
      </x:c>
      <x:c r="L2" s="64" t="str">
        <x:v>Varies</x:v>
      </x:c>
      <x:c r="M2" s="64" t="str">
        <x:v>Source 2 workbook entry; technical status is recorded separately.</x:v>
      </x:c>
      <x:c r="N2" s="64" t="str">
        <x:v>As listed: Scheduler -&gt; load job (reference table)</x:v>
      </x:c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6" t="str">
        <x:v>Source 2 workbook</x:v>
      </x:c>
      <x:c r="B3" s="46" t="str">
        <x:v>Various</x:v>
      </x:c>
      <x:c r="C3" s="46" t="str">
        <x:v>Multiple / Africa + Global</x:v>
      </x:c>
      <x:c r="D3" s="46" t="str">
        <x:v>Cassava</x:v>
      </x:c>
      <x:c r="E3" s="46" t="str">
        <x:v>Cassava</x:v>
      </x:c>
      <x:c r="F3" s="46" t="str">
        <x:v>FAO / WFP DataBridges / World Bank monthly</x:v>
      </x:c>
      <x:c r="G3" s="67" t="str">
        <x:v>https://www.fao.org/giews/food-prices/en/</x:v>
      </x:c>
      <x:c r="H3" s="46" t="str">
        <x:v>Root (staple); proposed in Source 2 workbook.</x:v>
      </x:c>
      <x:c r="I3" s="46" t="str">
        <x:v>As listed in Source 2</x:v>
      </x:c>
      <x:c r="J3" s="46" t="str">
        <x:v>As listed</x:v>
      </x:c>
      <x:c r="K3" s="46" t="str">
        <x:v>Planned / needs validation</x:v>
      </x:c>
      <x:c r="L3" s="46" t="str">
        <x:v>Varies</x:v>
      </x:c>
      <x:c r="M3" s="46" t="str">
        <x:v>Source 2 workbook entry; technical status is recorded separately.</x:v>
      </x:c>
      <x:c r="N3" s="46" t="str">
        <x:v>As listed: Scheduler -&gt; load job</x:v>
      </x:c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64" t="str">
        <x:v>Source 2 workbook</x:v>
      </x:c>
      <x:c r="B4" s="64" t="str">
        <x:v>Various</x:v>
      </x:c>
      <x:c r="C4" s="64" t="str">
        <x:v>Multiple / Africa + Global</x:v>
      </x:c>
      <x:c r="D4" s="64" t="str">
        <x:v>Garri (cassava)</x:v>
      </x:c>
      <x:c r="E4" s="64" t="str">
        <x:v>Garri (cassava)</x:v>
      </x:c>
      <x:c r="F4" s="64" t="str">
        <x:v>World Bank HFCP (daily crowdsourced)</x:v>
      </x:c>
      <x:c r="G4" s="66" t="str">
        <x:v>https://microdata.worldbank.org/catalog/8197</x:v>
      </x:c>
      <x:c r="H4" s="64" t="str">
        <x:v>By-product of cassava; proposed in Source 2 workbook.</x:v>
      </x:c>
      <x:c r="I4" s="64" t="str">
        <x:v>As listed in Source 2</x:v>
      </x:c>
      <x:c r="J4" s="64" t="str">
        <x:v>As listed</x:v>
      </x:c>
      <x:c r="K4" s="64" t="str">
        <x:v>Planned / needs validation</x:v>
      </x:c>
      <x:c r="L4" s="64" t="str">
        <x:v>Varies</x:v>
      </x:c>
      <x:c r="M4" s="64" t="str">
        <x:v>Source 2 workbook entry; technical status is recorded separately.</x:v>
      </x:c>
      <x:c r="N4" s="64" t="str">
        <x:v>As listed: Scheduler -&gt; load job</x:v>
      </x:c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6" t="str">
        <x:v>Source 2 workbook</x:v>
      </x:c>
      <x:c r="B5" s="46" t="str">
        <x:v>Various</x:v>
      </x:c>
      <x:c r="C5" s="46" t="str">
        <x:v>Multiple / Africa + Global</x:v>
      </x:c>
      <x:c r="D5" s="46" t="str">
        <x:v>Plantain / Banana</x:v>
      </x:c>
      <x:c r="E5" s="46" t="str">
        <x:v>Plantain / Banana</x:v>
      </x:c>
      <x:c r="F5" s="46" t="str">
        <x:v>FAO / Africa Food Prices Portal</x:v>
      </x:c>
      <x:c r="G5" s="67" t="str">
        <x:v>https://www.fao.org/giews/food-prices/en/ ; https://africafoodprices.io/</x:v>
      </x:c>
      <x:c r="H5" s="46" t="str">
        <x:v>Fruit (staple); proposed in Source 2 workbook.</x:v>
      </x:c>
      <x:c r="I5" s="46" t="str">
        <x:v>As listed in Source 2</x:v>
      </x:c>
      <x:c r="J5" s="46" t="str">
        <x:v>As listed</x:v>
      </x:c>
      <x:c r="K5" s="46" t="str">
        <x:v>Planned / needs validation</x:v>
      </x:c>
      <x:c r="L5" s="46" t="str">
        <x:v>Varies</x:v>
      </x:c>
      <x:c r="M5" s="46" t="str">
        <x:v>Source 2 workbook entry; technical status is recorded separately.</x:v>
      </x:c>
      <x:c r="N5" s="46" t="str">
        <x:v>As listed: Weekly export -&gt; GCS -&gt; BigQuery</x:v>
      </x:c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64" t="str">
        <x:v>Source 2 workbook</x:v>
      </x:c>
      <x:c r="B6" s="64" t="str">
        <x:v>Various</x:v>
      </x:c>
      <x:c r="C6" s="64" t="str">
        <x:v>Multiple / Africa + Global</x:v>
      </x:c>
      <x:c r="D6" s="64" t="str">
        <x:v>Cocoyam</x:v>
      </x:c>
      <x:c r="E6" s="64" t="str">
        <x:v>Cocoyam</x:v>
      </x:c>
      <x:c r="F6" s="64" t="str">
        <x:v>Africa Food Prices Portal / FAO</x:v>
      </x:c>
      <x:c r="G6" s="66" t="str">
        <x:v>https://africafoodprices.io/ ; https://www.fao.org/giews/food-prices/en/</x:v>
      </x:c>
      <x:c r="H6" s="64" t="str">
        <x:v>Tuber (staple); proposed in Source 2 workbook.</x:v>
      </x:c>
      <x:c r="I6" s="64" t="str">
        <x:v>As listed in Source 2</x:v>
      </x:c>
      <x:c r="J6" s="64" t="str">
        <x:v>As listed</x:v>
      </x:c>
      <x:c r="K6" s="64" t="str">
        <x:v>Planned / needs validation</x:v>
      </x:c>
      <x:c r="L6" s="64" t="str">
        <x:v>Varies</x:v>
      </x:c>
      <x:c r="M6" s="64" t="str">
        <x:v>Source 2 workbook entry; technical status is recorded separately.</x:v>
      </x:c>
      <x:c r="N6" s="64" t="str">
        <x:v>As listed: Weekly export -&gt; GCS -&gt; BigQuery</x:v>
      </x:c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6" t="str">
        <x:v>Source 2 workbook</x:v>
      </x:c>
      <x:c r="B7" s="46" t="str">
        <x:v>Various</x:v>
      </x:c>
      <x:c r="C7" s="46" t="str">
        <x:v>Multiple / Africa + Global</x:v>
      </x:c>
      <x:c r="D7" s="46" t="str">
        <x:v>Cowpea / Beans</x:v>
      </x:c>
      <x:c r="E7" s="46" t="str">
        <x:v>Cowpea / Beans</x:v>
      </x:c>
      <x:c r="F7" s="46" t="str">
        <x:v>World Bank HFCP / WFP DataBridges</x:v>
      </x:c>
      <x:c r="G7" s="67" t="str">
        <x:v>https://microdata.worldbank.org/catalog/8197 ; WFP DataBridges</x:v>
      </x:c>
      <x:c r="H7" s="46" t="str">
        <x:v>Legume (staple); proposed in Source 2 workbook.</x:v>
      </x:c>
      <x:c r="I7" s="46" t="str">
        <x:v>As listed in Source 2</x:v>
      </x:c>
      <x:c r="J7" s="46" t="str">
        <x:v>As listed</x:v>
      </x:c>
      <x:c r="K7" s="46" t="str">
        <x:v>Planned / needs validation</x:v>
      </x:c>
      <x:c r="L7" s="46" t="str">
        <x:v>Varies</x:v>
      </x:c>
      <x:c r="M7" s="46" t="str">
        <x:v>Source 2 workbook entry; technical status is recorded separately.</x:v>
      </x:c>
      <x:c r="N7" s="46" t="str">
        <x:v>As listed: Scheduler -&gt; load job</x:v>
      </x:c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64" t="str">
        <x:v>Source 2 workbook</x:v>
      </x:c>
      <x:c r="B8" s="64" t="str">
        <x:v>Various</x:v>
      </x:c>
      <x:c r="C8" s="64" t="str">
        <x:v>Multiple / Africa + Global</x:v>
      </x:c>
      <x:c r="D8" s="64" t="str">
        <x:v>Local / imported rice</x:v>
      </x:c>
      <x:c r="E8" s="64" t="str">
        <x:v>Local / imported rice</x:v>
      </x:c>
      <x:c r="F8" s="64" t="str">
        <x:v>World Bank HFCP (daily) + global futures benchmark</x:v>
      </x:c>
      <x:c r="G8" s="66" t="str">
        <x:v>https://microdata.worldbank.org/catalog/8197</x:v>
      </x:c>
      <x:c r="H8" s="64" t="str">
        <x:v>Grain (staple); proposed in Source 2 workbook.</x:v>
      </x:c>
      <x:c r="I8" s="64" t="str">
        <x:v>As listed in Source 2</x:v>
      </x:c>
      <x:c r="J8" s="64" t="str">
        <x:v>As listed</x:v>
      </x:c>
      <x:c r="K8" s="64" t="str">
        <x:v>Planned / needs validation</x:v>
      </x:c>
      <x:c r="L8" s="64" t="str">
        <x:v>Varies</x:v>
      </x:c>
      <x:c r="M8" s="64" t="str">
        <x:v>Source 2 workbook entry; technical status is recorded separately.</x:v>
      </x:c>
      <x:c r="N8" s="64" t="str">
        <x:v>As listed: Scheduler -&gt; load job</x:v>
      </x:c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6" t="str">
        <x:v>Source 2 workbook</x:v>
      </x:c>
      <x:c r="B9" s="46" t="str">
        <x:v>Various</x:v>
      </x:c>
      <x:c r="C9" s="46" t="str">
        <x:v>Multiple / Africa + Global</x:v>
      </x:c>
      <x:c r="D9" s="46" t="str">
        <x:v>Cocoa</x:v>
      </x:c>
      <x:c r="E9" s="46" t="str">
        <x:v>Cocoa</x:v>
      </x:c>
      <x:c r="F9" s="46" t="str">
        <x:v>API-Ninjas / Commodities-API (live futures)</x:v>
      </x:c>
      <x:c r="G9" s="67" t="str">
        <x:v>https://api.api-ninjas.com/v1/commodityprice?name=cocoa</x:v>
      </x:c>
      <x:c r="H9" s="46" t="str">
        <x:v>Cash crop (tradeable); proposed in Source 2 workbook.</x:v>
      </x:c>
      <x:c r="I9" s="46" t="str">
        <x:v>As listed in Source 2</x:v>
      </x:c>
      <x:c r="J9" s="46" t="str">
        <x:v>As listed</x:v>
      </x:c>
      <x:c r="K9" s="46" t="str">
        <x:v>Planned / needs validation</x:v>
      </x:c>
      <x:c r="L9" s="46" t="str">
        <x:v>Varies</x:v>
      </x:c>
      <x:c r="M9" s="46" t="str">
        <x:v>Source 2 workbook entry; technical status is recorded separately.</x:v>
      </x:c>
      <x:c r="N9" s="46" t="str">
        <x:v>As listed: Cloud Function -&gt; insert_rows_json</x:v>
      </x:c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64" t="str">
        <x:v>Source 2 workbook</x:v>
      </x:c>
      <x:c r="B10" s="64" t="str">
        <x:v>Various</x:v>
      </x:c>
      <x:c r="C10" s="64" t="str">
        <x:v>Multiple / Africa + Global</x:v>
      </x:c>
      <x:c r="D10" s="64" t="str">
        <x:v>Coffee</x:v>
      </x:c>
      <x:c r="E10" s="64" t="str">
        <x:v>Coffee</x:v>
      </x:c>
      <x:c r="F10" s="64" t="str">
        <x:v>API-Ninjas / Commodities-API</x:v>
      </x:c>
      <x:c r="G10" s="66" t="str">
        <x:v>https://api.api-ninjas.com/v1/commodityprice?name=coffee</x:v>
      </x:c>
      <x:c r="H10" s="64" t="str">
        <x:v>Cash crop (tradeable); proposed in Source 2 workbook.</x:v>
      </x:c>
      <x:c r="I10" s="64" t="str">
        <x:v>As listed in Source 2</x:v>
      </x:c>
      <x:c r="J10" s="64" t="str">
        <x:v>As listed</x:v>
      </x:c>
      <x:c r="K10" s="64" t="str">
        <x:v>Planned / needs validation</x:v>
      </x:c>
      <x:c r="L10" s="64" t="str">
        <x:v>Varies</x:v>
      </x:c>
      <x:c r="M10" s="64" t="str">
        <x:v>Source 2 workbook entry; technical status is recorded separately.</x:v>
      </x:c>
      <x:c r="N10" s="64" t="str">
        <x:v>As listed: Cloud Function -&gt; insert_rows_json</x:v>
      </x:c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6" t="str">
        <x:v>Source 2 workbook</x:v>
      </x:c>
      <x:c r="B11" s="46" t="str">
        <x:v>Various</x:v>
      </x:c>
      <x:c r="C11" s="46" t="str">
        <x:v>Multiple / Africa + Global</x:v>
      </x:c>
      <x:c r="D11" s="46" t="str">
        <x:v>Cotton</x:v>
      </x:c>
      <x:c r="E11" s="46" t="str">
        <x:v>Cotton</x:v>
      </x:c>
      <x:c r="F11" s="46" t="str">
        <x:v>API-Ninjas / Commodities-API</x:v>
      </x:c>
      <x:c r="G11" s="67" t="str">
        <x:v>https://api.api-ninjas.com/v1/commodityprice?name=cotton</x:v>
      </x:c>
      <x:c r="H11" s="46" t="str">
        <x:v>Cash crop (tradeable); proposed in Source 2 workbook.</x:v>
      </x:c>
      <x:c r="I11" s="46" t="str">
        <x:v>As listed in Source 2</x:v>
      </x:c>
      <x:c r="J11" s="46" t="str">
        <x:v>As listed</x:v>
      </x:c>
      <x:c r="K11" s="46" t="str">
        <x:v>Planned / needs validation</x:v>
      </x:c>
      <x:c r="L11" s="46" t="str">
        <x:v>Varies</x:v>
      </x:c>
      <x:c r="M11" s="46" t="str">
        <x:v>Source 2 workbook entry; technical status is recorded separately.</x:v>
      </x:c>
      <x:c r="N11" s="46" t="str">
        <x:v>As listed: Cloud Function -&gt; insert_rows_json</x:v>
      </x:c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64" t="str">
        <x:v>Source 2 workbook</x:v>
      </x:c>
      <x:c r="B12" s="64" t="str">
        <x:v>Various</x:v>
      </x:c>
      <x:c r="C12" s="64" t="str">
        <x:v>Multiple / Africa + Global</x:v>
      </x:c>
      <x:c r="D12" s="64" t="str">
        <x:v>Maize / Corn</x:v>
      </x:c>
      <x:c r="E12" s="64" t="str">
        <x:v>Maize / Corn</x:v>
      </x:c>
      <x:c r="F12" s="64" t="str">
        <x:v>API-Ninjas / Commodities-API + AFEX (physical)</x:v>
      </x:c>
      <x:c r="G12" s="66" t="str">
        <x:v>https://api.api-ninjas.com/v1/commodityprice?name=maize ; https://xip.afex.africa/</x:v>
      </x:c>
      <x:c r="H12" s="64" t="str">
        <x:v>Grain (tradeable); proposed in Source 2 workbook.</x:v>
      </x:c>
      <x:c r="I12" s="64" t="str">
        <x:v>As listed in Source 2</x:v>
      </x:c>
      <x:c r="J12" s="64" t="str">
        <x:v>As listed</x:v>
      </x:c>
      <x:c r="K12" s="64" t="str">
        <x:v>Planned / needs validation</x:v>
      </x:c>
      <x:c r="L12" s="64" t="str">
        <x:v>Varies</x:v>
      </x:c>
      <x:c r="M12" s="64" t="str">
        <x:v>Source 2 workbook entry; technical status is recorded separately.</x:v>
      </x:c>
      <x:c r="N12" s="64" t="str">
        <x:v>As listed: Cloud Function -&gt; insert_rows_json</x:v>
      </x:c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6" t="str">
        <x:v>Source 2 workbook</x:v>
      </x:c>
      <x:c r="B13" s="46" t="str">
        <x:v>Various</x:v>
      </x:c>
      <x:c r="C13" s="46" t="str">
        <x:v>Multiple / Africa + Global</x:v>
      </x:c>
      <x:c r="D13" s="46" t="str">
        <x:v>Soybean</x:v>
      </x:c>
      <x:c r="E13" s="46" t="str">
        <x:v>Soybean</x:v>
      </x:c>
      <x:c r="F13" s="46" t="str">
        <x:v>API-Ninjas / Commodities-API + AFEX</x:v>
      </x:c>
      <x:c r="G13" s="67" t="str">
        <x:v>https://api.api-ninjas.com/v1/commodityprice?name=soybean ; https://xip.afex.africa/</x:v>
      </x:c>
      <x:c r="H13" s="46" t="str">
        <x:v>Legume (tradeable); proposed in Source 2 workbook.</x:v>
      </x:c>
      <x:c r="I13" s="46" t="str">
        <x:v>As listed in Source 2</x:v>
      </x:c>
      <x:c r="J13" s="46" t="str">
        <x:v>As listed</x:v>
      </x:c>
      <x:c r="K13" s="46" t="str">
        <x:v>Planned / needs validation</x:v>
      </x:c>
      <x:c r="L13" s="46" t="str">
        <x:v>Varies</x:v>
      </x:c>
      <x:c r="M13" s="46" t="str">
        <x:v>Source 2 workbook entry; technical status is recorded separately.</x:v>
      </x:c>
      <x:c r="N13" s="46" t="str">
        <x:v>As listed: Cloud Function -&gt; insert_rows_json</x:v>
      </x:c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64" t="str">
        <x:v>Source 2 workbook</x:v>
      </x:c>
      <x:c r="B14" s="64" t="str">
        <x:v>Various</x:v>
      </x:c>
      <x:c r="C14" s="64" t="str">
        <x:v>Multiple / Africa + Global</x:v>
      </x:c>
      <x:c r="D14" s="64" t="str">
        <x:v>Sorghum</x:v>
      </x:c>
      <x:c r="E14" s="64" t="str">
        <x:v>Sorghum</x:v>
      </x:c>
      <x:c r="F14" s="64" t="str">
        <x:v>AFEX (physical) + World Bank HFCP (daily)</x:v>
      </x:c>
      <x:c r="G14" s="66" t="str">
        <x:v>https://xip.afex.africa/ ; https://microdata.worldbank.org/catalog/8197</x:v>
      </x:c>
      <x:c r="H14" s="64" t="str">
        <x:v>Grain (tradeable); proposed in Source 2 workbook.</x:v>
      </x:c>
      <x:c r="I14" s="64" t="str">
        <x:v>As listed in Source 2</x:v>
      </x:c>
      <x:c r="J14" s="64" t="str">
        <x:v>As listed</x:v>
      </x:c>
      <x:c r="K14" s="64" t="str">
        <x:v>Planned / needs validation</x:v>
      </x:c>
      <x:c r="L14" s="64" t="str">
        <x:v>Varies</x:v>
      </x:c>
      <x:c r="M14" s="64" t="str">
        <x:v>Source 2 workbook entry; technical status is recorded separately.</x:v>
      </x:c>
      <x:c r="N14" s="64" t="str">
        <x:v>As listed: Cloud Function -&gt; BigQuery</x:v>
      </x:c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6" t="str">
        <x:v>Source 2 workbook</x:v>
      </x:c>
      <x:c r="B15" s="46" t="str">
        <x:v>Various</x:v>
      </x:c>
      <x:c r="C15" s="46" t="str">
        <x:v>Multiple / Africa + Global</x:v>
      </x:c>
      <x:c r="D15" s="46" t="str">
        <x:v>Sesame</x:v>
      </x:c>
      <x:c r="E15" s="46" t="str">
        <x:v>Sesame</x:v>
      </x:c>
      <x:c r="F15" s="46" t="str">
        <x:v>AFEX (physical exchange)</x:v>
      </x:c>
      <x:c r="G15" s="67" t="str">
        <x:v>https://xip.afex.africa/</x:v>
      </x:c>
      <x:c r="H15" s="46" t="str">
        <x:v>Oilseed (tradeable); proposed in Source 2 workbook.</x:v>
      </x:c>
      <x:c r="I15" s="46" t="str">
        <x:v>As listed in Source 2</x:v>
      </x:c>
      <x:c r="J15" s="46" t="str">
        <x:v>As listed</x:v>
      </x:c>
      <x:c r="K15" s="46" t="str">
        <x:v>Planned / needs validation</x:v>
      </x:c>
      <x:c r="L15" s="46" t="str">
        <x:v>Varies</x:v>
      </x:c>
      <x:c r="M15" s="46" t="str">
        <x:v>Source 2 workbook entry; technical status is recorded separately.</x:v>
      </x:c>
      <x:c r="N15" s="46" t="str">
        <x:v>As listed: Cloud Function -&gt; BigQuery</x:v>
      </x:c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64" t="str">
        <x:v>Source 2 workbook</x:v>
      </x:c>
      <x:c r="B16" s="64" t="str">
        <x:v>Various</x:v>
      </x:c>
      <x:c r="C16" s="64" t="str">
        <x:v>Multiple / Africa + Global</x:v>
      </x:c>
      <x:c r="D16" s="64" t="str">
        <x:v>Sugar</x:v>
      </x:c>
      <x:c r="E16" s="64" t="str">
        <x:v>Sugar</x:v>
      </x:c>
      <x:c r="F16" s="64" t="str">
        <x:v>Commodities-API / Tradefeeds</x:v>
      </x:c>
      <x:c r="G16" s="66" t="str">
        <x:v>https://commodities-api.com/</x:v>
      </x:c>
      <x:c r="H16" s="64" t="str">
        <x:v>Cash crop (tradeable); proposed in Source 2 workbook.</x:v>
      </x:c>
      <x:c r="I16" s="64" t="str">
        <x:v>As listed in Source 2</x:v>
      </x:c>
      <x:c r="J16" s="64" t="str">
        <x:v>As listed</x:v>
      </x:c>
      <x:c r="K16" s="64" t="str">
        <x:v>Planned / needs validation</x:v>
      </x:c>
      <x:c r="L16" s="64" t="str">
        <x:v>Varies</x:v>
      </x:c>
      <x:c r="M16" s="64" t="str">
        <x:v>Source 2 workbook entry; technical status is recorded separately.</x:v>
      </x:c>
      <x:c r="N16" s="64" t="str">
        <x:v>As listed: Cloud Function -&gt; insert_rows_json</x:v>
      </x:c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6" t="str">
        <x:v>Source 2 workbook</x:v>
      </x:c>
      <x:c r="B17" s="46" t="str">
        <x:v>Various</x:v>
      </x:c>
      <x:c r="C17" s="46" t="str">
        <x:v>Multiple / Africa + Global</x:v>
      </x:c>
      <x:c r="D17" s="46" t="str">
        <x:v>Wheat</x:v>
      </x:c>
      <x:c r="E17" s="46" t="str">
        <x:v>Wheat</x:v>
      </x:c>
      <x:c r="F17" s="46" t="str">
        <x:v>API-Ninjas / Commodities-API</x:v>
      </x:c>
      <x:c r="G17" s="67" t="str">
        <x:v>https://api.api-ninjas.com/v1/commodityprice?name=wheat</x:v>
      </x:c>
      <x:c r="H17" s="46" t="str">
        <x:v>Grain (tradeable); proposed in Source 2 workbook.</x:v>
      </x:c>
      <x:c r="I17" s="46" t="str">
        <x:v>As listed in Source 2</x:v>
      </x:c>
      <x:c r="J17" s="46" t="str">
        <x:v>As listed</x:v>
      </x:c>
      <x:c r="K17" s="46" t="str">
        <x:v>Planned / needs validation</x:v>
      </x:c>
      <x:c r="L17" s="46" t="str">
        <x:v>Varies</x:v>
      </x:c>
      <x:c r="M17" s="46" t="str">
        <x:v>Source 2 workbook entry; technical status is recorded separately.</x:v>
      </x:c>
      <x:c r="N17" s="46" t="str">
        <x:v>As listed: Cloud Function -&gt; insert_rows_json</x:v>
      </x:c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64" t="str">
        <x:v>Source 2 workbook</x:v>
      </x:c>
      <x:c r="B18" s="64" t="str">
        <x:v>Various</x:v>
      </x:c>
      <x:c r="C18" s="64" t="str">
        <x:v>Multiple / Africa + Global</x:v>
      </x:c>
      <x:c r="D18" s="64" t="str">
        <x:v>Palm oil</x:v>
      </x:c>
      <x:c r="E18" s="64" t="str">
        <x:v>Palm oil</x:v>
      </x:c>
      <x:c r="F18" s="64" t="str">
        <x:v>Commodities-API / Tradefeeds</x:v>
      </x:c>
      <x:c r="G18" s="66" t="str">
        <x:v>https://commodities-api.com/ ; https://tradefeeds.com/</x:v>
      </x:c>
      <x:c r="H18" s="64" t="str">
        <x:v>By-product (oil); proposed in Source 2 workbook.</x:v>
      </x:c>
      <x:c r="I18" s="64" t="str">
        <x:v>As listed in Source 2</x:v>
      </x:c>
      <x:c r="J18" s="64" t="str">
        <x:v>As listed</x:v>
      </x:c>
      <x:c r="K18" s="64" t="str">
        <x:v>Planned / needs validation</x:v>
      </x:c>
      <x:c r="L18" s="64" t="str">
        <x:v>Varies</x:v>
      </x:c>
      <x:c r="M18" s="64" t="str">
        <x:v>Source 2 workbook entry; technical status is recorded separately.</x:v>
      </x:c>
      <x:c r="N18" s="64" t="str">
        <x:v>As listed: Cloud Function -&gt; insert_rows_json</x:v>
      </x:c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6" t="str">
        <x:v>Source 2 workbook</x:v>
      </x:c>
      <x:c r="B19" s="46" t="str">
        <x:v>Various</x:v>
      </x:c>
      <x:c r="C19" s="46" t="str">
        <x:v>Multiple / Africa + Global</x:v>
      </x:c>
      <x:c r="D19" s="46" t="str">
        <x:v>Sunflower oil</x:v>
      </x:c>
      <x:c r="E19" s="46" t="str">
        <x:v>Sunflower oil</x:v>
      </x:c>
      <x:c r="F19" s="46" t="str">
        <x:v>Commodities-API / Tradefeeds</x:v>
      </x:c>
      <x:c r="G19" s="67" t="str">
        <x:v>https://commodities-api.com/ ; https://tradefeeds.com/</x:v>
      </x:c>
      <x:c r="H19" s="46" t="str">
        <x:v>By-product (oil); proposed in Source 2 workbook.</x:v>
      </x:c>
      <x:c r="I19" s="46" t="str">
        <x:v>As listed in Source 2</x:v>
      </x:c>
      <x:c r="J19" s="46" t="str">
        <x:v>As listed</x:v>
      </x:c>
      <x:c r="K19" s="46" t="str">
        <x:v>Planned / needs validation</x:v>
      </x:c>
      <x:c r="L19" s="46" t="str">
        <x:v>Varies</x:v>
      </x:c>
      <x:c r="M19" s="46" t="str">
        <x:v>Source 2 workbook entry; technical status is recorded separately.</x:v>
      </x:c>
      <x:c r="N19" s="46" t="str">
        <x:v>As listed: Cloud Function -&gt; insert_rows_json</x:v>
      </x:c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64" t="str">
        <x:v>Source 2 workbook</x:v>
      </x:c>
      <x:c r="B20" s="64" t="str">
        <x:v>Various</x:v>
      </x:c>
      <x:c r="C20" s="64" t="str">
        <x:v>Multiple / Africa + Global</x:v>
      </x:c>
      <x:c r="D20" s="64" t="str">
        <x:v>Rapeseed / canola oil</x:v>
      </x:c>
      <x:c r="E20" s="64" t="str">
        <x:v>Rapeseed / canola oil</x:v>
      </x:c>
      <x:c r="F20" s="64" t="str">
        <x:v>Commodities-API / Tradefeeds</x:v>
      </x:c>
      <x:c r="G20" s="66" t="str">
        <x:v>https://commodities-api.com/ ; https://tradefeeds.com/</x:v>
      </x:c>
      <x:c r="H20" s="64" t="str">
        <x:v>By-product (oil); proposed in Source 2 workbook.</x:v>
      </x:c>
      <x:c r="I20" s="64" t="str">
        <x:v>As listed in Source 2</x:v>
      </x:c>
      <x:c r="J20" s="64" t="str">
        <x:v>As listed</x:v>
      </x:c>
      <x:c r="K20" s="64" t="str">
        <x:v>Planned / needs validation</x:v>
      </x:c>
      <x:c r="L20" s="64" t="str">
        <x:v>Varies</x:v>
      </x:c>
      <x:c r="M20" s="64" t="str">
        <x:v>Source 2 workbook entry; technical status is recorded separately.</x:v>
      </x:c>
      <x:c r="N20" s="64" t="str">
        <x:v>As listed: Cloud Function -&gt; insert_rows_json</x:v>
      </x:c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6" t="str">
        <x:v>Source 2 workbook</x:v>
      </x:c>
      <x:c r="B21" s="46" t="str">
        <x:v>Various</x:v>
      </x:c>
      <x:c r="C21" s="46" t="str">
        <x:v>Multiple / Africa + Global</x:v>
      </x:c>
      <x:c r="D21" s="46" t="str">
        <x:v>Soybean meal</x:v>
      </x:c>
      <x:c r="E21" s="46" t="str">
        <x:v>Soybean meal</x:v>
      </x:c>
      <x:c r="F21" s="46" t="str">
        <x:v>Commodities-API / Twelve Data</x:v>
      </x:c>
      <x:c r="G21" s="67" t="str">
        <x:v>https://commodities-api.com/ ; https://twelvedata.com/</x:v>
      </x:c>
      <x:c r="H21" s="46" t="str">
        <x:v>By-product (feed); proposed in Source 2 workbook.</x:v>
      </x:c>
      <x:c r="I21" s="46" t="str">
        <x:v>As listed in Source 2</x:v>
      </x:c>
      <x:c r="J21" s="46" t="str">
        <x:v>As listed</x:v>
      </x:c>
      <x:c r="K21" s="46" t="str">
        <x:v>Planned / needs validation</x:v>
      </x:c>
      <x:c r="L21" s="46" t="str">
        <x:v>Varies</x:v>
      </x:c>
      <x:c r="M21" s="46" t="str">
        <x:v>Source 2 workbook entry; technical status is recorded separately.</x:v>
      </x:c>
      <x:c r="N21" s="46" t="str">
        <x:v>As listed: Cloud Function -&gt; insert_rows_json</x:v>
      </x:c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64" t="str">
        <x:v>Source 2 workbook</x:v>
      </x:c>
      <x:c r="B22" s="64" t="str">
        <x:v>Various</x:v>
      </x:c>
      <x:c r="C22" s="64" t="str">
        <x:v>Multiple / Africa + Global</x:v>
      </x:c>
      <x:c r="D22" s="64" t="str">
        <x:v>Cocoa butter</x:v>
      </x:c>
      <x:c r="E22" s="64" t="str">
        <x:v>Cocoa butter</x:v>
      </x:c>
      <x:c r="F22" s="64" t="str">
        <x:v>Commodities-API / Tradefeeds</x:v>
      </x:c>
      <x:c r="G22" s="66" t="str">
        <x:v>https://commodities-api.com/ ; https://tradefeeds.com/</x:v>
      </x:c>
      <x:c r="H22" s="64" t="str">
        <x:v>By-product (cocoa); proposed in Source 2 workbook.</x:v>
      </x:c>
      <x:c r="I22" s="64" t="str">
        <x:v>As listed in Source 2</x:v>
      </x:c>
      <x:c r="J22" s="64" t="str">
        <x:v>As listed</x:v>
      </x:c>
      <x:c r="K22" s="64" t="str">
        <x:v>Planned / needs validation</x:v>
      </x:c>
      <x:c r="L22" s="64" t="str">
        <x:v>Varies</x:v>
      </x:c>
      <x:c r="M22" s="64" t="str">
        <x:v>Source 2 workbook entry; technical status is recorded separately.</x:v>
      </x:c>
      <x:c r="N22" s="64" t="str">
        <x:v>As listed: Cloud Function -&gt; insert_rows_json</x:v>
      </x:c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6" t="str">
        <x:v>Nigeria farmers</x:v>
      </x:c>
      <x:c r="B23" s="46" t="str">
        <x:v>Nigeria</x:v>
      </x:c>
      <x:c r="C23" s="46" t="str">
        <x:v>Nigeria; partner focus Abuja / Edo / Benue / Delta</x:v>
      </x:c>
      <x:c r="D23" s="46" t="str">
        <x:v>WFP Food Prices for Nigeria</x:v>
      </x:c>
      <x:c r="E23" s="46" t="str">
        <x:v>Yam, cassava, garri, banana/plantain, beans, rice, maize, sorghum, sugar, wheat, palm oil, groundnut</x:v>
      </x:c>
      <x:c r="F23" s="46" t="str">
        <x:v>WFP / HDX</x:v>
      </x:c>
      <x:c r="G23" s="67" t="str">
        <x:v>https://data.humdata.org/dataset/wfp-food-prices-for-nigeria</x:v>
      </x:c>
      <x:c r="H23" s="46" t="str">
        <x:v>Public Nigeria food-price CSV with commodity, market, state/admin1, price, USD price, unit and price type.</x:v>
      </x:c>
      <x:c r="I23" s="46" t="str">
        <x:v>Public</x:v>
      </x:c>
      <x:c r="J23" s="46" t="str">
        <x:v>Monthly file</x:v>
      </x:c>
      <x:c r="K23" s="46" t="str">
        <x:v>LIVE / extracted</x:v>
      </x:c>
      <x:c r="L23" s="46" t="str">
        <x:v>Yes - CSV</x:v>
      </x:c>
      <x:c r="M23" s="46" t="str">
        <x:v>Prior live run downloaded ~10.8 MB / ~88k rows; last observation 2026-07-15. Cassava and garri last 2023; wheat physical last 2006 in the current snapshot.</x:v>
      </x:c>
      <x:c r="N23" s="46" t="str">
        <x:v>Ready for ingestion from CSV; retain raw + normalized tables.</x:v>
      </x:c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64" t="str">
        <x:v>Nigeria farmers</x:v>
      </x:c>
      <x:c r="B24" s="64" t="str">
        <x:v>Nigeria</x:v>
      </x:c>
      <x:c r="C24" s="64" t="str">
        <x:v>Nigeria (73 markets; national)</x:v>
      </x:c>
      <x:c r="D24" s="64" t="str">
        <x:v>Real-Time Food Prices (RTPF)</x:v>
      </x:c>
      <x:c r="E24" s="64" t="str">
        <x:v>Food price panel / multiple commodities</x:v>
      </x:c>
      <x:c r="F24" s="64" t="str">
        <x:v>World Bank</x:v>
      </x:c>
      <x:c r="G24" s="66" t="str">
        <x:v>https://microdata.worldbank.org/catalog/5712</x:v>
      </x:c>
      <x:c r="H24" s="64" t="str">
        <x:v>Official Nigeria real-time food price catalog combining multiple sources; weekly compilation.</x:v>
      </x:c>
      <x:c r="I24" s="64" t="str">
        <x:v>Metadata public; microdata download login</x:v>
      </x:c>
      <x:c r="J24" s="64" t="str">
        <x:v>Weekly</x:v>
      </x:c>
      <x:c r="K24" s="64" t="str">
        <x:v>METADATA ACCESS / download blocked</x:v>
      </x:c>
      <x:c r="L24" s="64" t="str">
        <x:v>Metadata yes; file blocked</x:v>
      </x:c>
      <x:c r="M24" s="64" t="str">
        <x:v>Catalog accessible; direct file download returned 500 in prior test without microdata login.</x:v>
      </x:c>
      <x:c r="N24" s="64" t="str">
        <x:v>Share catalog + access requirement with Abel.</x:v>
      </x:c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6" t="str">
        <x:v>Nigeria farmers</x:v>
      </x:c>
      <x:c r="B25" s="46" t="str">
        <x:v>Nigeria</x:v>
      </x:c>
      <x:c r="C25" s="46" t="str">
        <x:v>Nigeria; national/regional</x:v>
      </x:c>
      <x:c r="D25" s="46" t="str">
        <x:v>Selected Food Price Watch</x:v>
      </x:c>
      <x:c r="E25" s="46" t="str">
        <x:v>Beans and other selected foods</x:v>
      </x:c>
      <x:c r="F25" s="46" t="str">
        <x:v>National Bureau of Statistics (Nigeria)</x:v>
      </x:c>
      <x:c r="G25" s="67" t="str">
        <x:v>https://microdata.nigerianstat.gov.ng/index.php/catalog/162/related-materials</x:v>
      </x:c>
      <x:c r="H25" s="46" t="str">
        <x:v>Official monthly selected food-price reports; download links include ZIP files containing XLSX tables.</x:v>
      </x:c>
      <x:c r="I25" s="46" t="str">
        <x:v>Public download</x:v>
      </x:c>
      <x:c r="J25" s="46" t="str">
        <x:v>Monthly</x:v>
      </x:c>
      <x:c r="K25" s="46" t="str">
        <x:v>LIVE / downloadable</x:v>
      </x:c>
      <x:c r="L25" s="46" t="str">
        <x:v>Yes - ZIP with XLSX</x:v>
      </x:c>
      <x:c r="M25" s="46" t="str">
        <x:v>May/June 2026 related-materials page exposes direct ZIP downloads; March 2026 ZIP is 5.08 MB.</x:v>
      </x:c>
      <x:c r="N25" s="46" t="str">
        <x:v>High-priority official source; hand off XLSX/ZIP ingestion.</x:v>
      </x:c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64" t="str">
        <x:v>KZN vegetable farmers</x:v>
      </x:c>
      <x:c r="B26" s="64" t="str">
        <x:v>South Africa</x:v>
      </x:c>
      <x:c r="C26" s="64" t="str">
        <x:v>KwaZulu-Natal / Durban Fresh Produce Market</x:v>
      </x:c>
      <x:c r="D26" s="64" t="str">
        <x:v>Fresh Produce Market Price Reporting</x:v>
      </x:c>
      <x:c r="E26" s="64" t="str">
        <x:v>Vegetables, fruit and fresh produce</x:v>
      </x:c>
      <x:c r="F26" s="64" t="str">
        <x:v>eThekwini / Durban Markets</x:v>
      </x:c>
      <x:c r="G26" s="66" t="str">
        <x:v>https://durbanmarkets.durban.gov.za/</x:v>
      </x:c>
      <x:c r="H26" s="64" t="str">
        <x:v>Daily fresh-produce market table with commodity, package weight, low/high/average price, volumes and province.</x:v>
      </x:c>
      <x:c r="I26" s="64" t="str">
        <x:v>Public web table</x:v>
      </x:c>
      <x:c r="J26" s="64" t="str">
        <x:v>Daily</x:v>
      </x:c>
      <x:c r="K26" s="64" t="str">
        <x:v>LIVE / extracted</x:v>
      </x:c>
      <x:c r="L26" s="64" t="str">
        <x:v>Yes - HTML table</x:v>
      </x:c>
      <x:c r="M26" s="64" t="str">
        <x:v>Page exposed 30/Sep/2026 rows, including KZN/NATAL cabbage, peppers, spinach, strawberries, sweet melons, etc.</x:v>
      </x:c>
      <x:c r="N26" s="64" t="str">
        <x:v>ETL table scrape or manual export; map package weights carefully.</x:v>
      </x:c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6" t="str">
        <x:v>Gauteng vegetable traders</x:v>
      </x:c>
      <x:c r="B27" s="46" t="str">
        <x:v>South Africa</x:v>
      </x:c>
      <x:c r="C27" s="46" t="str">
        <x:v>Gauteng / Johannesburg</x:v>
      </x:c>
      <x:c r="D27" s="46" t="str">
        <x:v>Daily Prices</x:v>
      </x:c>
      <x:c r="E27" s="46" t="str">
        <x:v>Vegetables, fruit and market activity</x:v>
      </x:c>
      <x:c r="F27" s="46" t="str">
        <x:v>Joburg Market</x:v>
      </x:c>
      <x:c r="G27" s="67" t="str">
        <x:v>https://joburgmarket.co.za/jhb-market/dailyprices.php</x:v>
      </x:c>
      <x:c r="H27" s="46" t="str">
        <x:v>Daily market activity table; website says prices update 12 noon-1pm every weekday. Columns include total value sold, total kg sold and quantity available.</x:v>
      </x:c>
      <x:c r="I27" s="46" t="str">
        <x:v>Public web table</x:v>
      </x:c>
      <x:c r="J27" s="46" t="str">
        <x:v>Weekdays</x:v>
      </x:c>
      <x:c r="K27" s="46" t="str">
        <x:v>LIVE / extracted</x:v>
      </x:c>
      <x:c r="L27" s="46" t="str">
        <x:v>Yes - HTML table</x:v>
      </x:c>
      <x:c r="M27" s="46" t="str">
        <x:v>Current crawl showed 29/Aug/2026. Average R/kg is derived as total value sold / total kg sold and should be flagged as derived, not a quoted grade price.</x:v>
      </x:c>
      <x:c r="N27" s="46" t="str">
        <x:v>ETL table scrape; store raw totals and derived average separately.</x:v>
      </x:c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64" t="str">
        <x:v>Gauteng vegetable traders</x:v>
      </x:c>
      <x:c r="B28" s="64" t="str">
        <x:v>South Africa</x:v>
      </x:c>
      <x:c r="C28" s="64" t="str">
        <x:v>Gauteng / Tshwane</x:v>
      </x:c>
      <x:c r="D28" s="64" t="str">
        <x:v>Daily / historical fresh produce market prices</x:v>
      </x:c>
      <x:c r="E28" s="64" t="str">
        <x:v>Vegetables / fresh produce</x:v>
      </x:c>
      <x:c r="F28" s="64" t="str">
        <x:v>City of Tshwane</x:v>
      </x:c>
      <x:c r="G28" s="66" t="str">
        <x:v>https://www.tshwane.gov.za/?page_id=1629</x:v>
      </x:c>
      <x:c r="H28" s="64" t="str">
        <x:v>Municipal page states daily and historical prices are available and prices are formed through fresh-produce trading.</x:v>
      </x:c>
      <x:c r="I28" s="64" t="str">
        <x:v>Public page</x:v>
      </x:c>
      <x:c r="J28" s="64" t="str">
        <x:v>Daily / historical</x:v>
      </x:c>
      <x:c r="K28" s="64" t="str">
        <x:v>PAGE AVAILABLE / extraction not completed</x:v>
      </x:c>
      <x:c r="L28" s="64" t="str">
        <x:v>Likely table / page</x:v>
      </x:c>
      <x:c r="M28" s="64" t="str">
        <x:v>Price section identified; page fetch timed out in this run, so no values were used as samples.</x:v>
      </x:c>
      <x:c r="N28" s="64" t="str">
        <x:v>Keep as secondary official source; retry through direct page/export in ETL.</x:v>
      </x:c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6" t="str">
        <x:v>Kenya fruit farmers</x:v>
      </x:c>
      <x:c r="B29" s="46" t="str">
        <x:v>Kenya</x:v>
      </x:c>
      <x:c r="C29" s="46" t="str">
        <x:v>Kenya counties / markets</x:v>
      </x:c>
      <x:c r="D29" s="46" t="str">
        <x:v>Market Prices (KAMIS)</x:v>
      </x:c>
      <x:c r="E29" s="46" t="str">
        <x:v>Banana, avocado and many fruits/vegetables</x:v>
      </x:c>
      <x:c r="F29" s="46" t="str">
        <x:v>Kenya Agricultural Market Information System (KAMIS)</x:v>
      </x:c>
      <x:c r="G29" s="67" t="str">
        <x:v>https://kamis.kilimo.go.ke/site/market</x:v>
      </x:c>
      <x:c r="H29" s="46" t="str">
        <x:v>Official market price table with county, market, commodity, wholesale, retail, supply volume and date; page exposes Export to Excel.</x:v>
      </x:c>
      <x:c r="I29" s="46" t="str">
        <x:v>Public web table + Excel export</x:v>
      </x:c>
      <x:c r="J29" s="46" t="str">
        <x:v>Daily / market reporting</x:v>
      </x:c>
      <x:c r="K29" s="46" t="str">
        <x:v>LIVE / extracted</x:v>
      </x:c>
      <x:c r="L29" s="46" t="str">
        <x:v>Yes - on-site Export to Excel</x:v>
      </x:c>
      <x:c r="M29" s="46" t="str">
        <x:v>Observed actual rows dated 2026-04-22 including cooking banana, vegetables and other commodities; Excel export control is visible.</x:v>
      </x:c>
      <x:c r="N29" s="46" t="str">
        <x:v>Preferred Kenya market-price source; ingest export or structured table.</x:v>
      </x:c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64" t="str">
        <x:v>Kenya fruit farmers</x:v>
      </x:c>
      <x:c r="B30" s="64" t="str">
        <x:v>Kenya</x:v>
      </x:c>
      <x:c r="C30" s="64" t="str">
        <x:v>Kenya / county-market level</x:v>
      </x:c>
      <x:c r="D30" s="64" t="str">
        <x:v>Market Prices (MkulimaHub)</x:v>
      </x:c>
      <x:c r="E30" s="64" t="str">
        <x:v>Avocado, banana and other fruits</x:v>
      </x:c>
      <x:c r="F30" s="64" t="str">
        <x:v>MkulimaHub</x:v>
      </x:c>
      <x:c r="G30" s="66" t="str">
        <x:v>https://mkulimahub.org/market-prices</x:v>
      </x:c>
      <x:c r="H30" s="64" t="str">
        <x:v>Secondary market-price aggregation with current county/market examples for avocado, banana, passion fruit and other produce.</x:v>
      </x:c>
      <x:c r="I30" s="64" t="str">
        <x:v>Public page</x:v>
      </x:c>
      <x:c r="J30" s="64" t="str">
        <x:v>Frequent/current</x:v>
      </x:c>
      <x:c r="K30" s="64" t="str">
        <x:v>LIVE / extracted (secondary)</x:v>
      </x:c>
      <x:c r="L30" s="64" t="str">
        <x:v>Page extract</x:v>
      </x:c>
      <x:c r="M30" s="64" t="str">
        <x:v>14/Sep/2026 examples include Hass avocado, Fuerte avocado, Cavendish banana, passion fruit, mango and watermelon.</x:v>
      </x:c>
      <x:c r="N30" s="64" t="str">
        <x:v>Use as secondary / cross-check, not official primary source.</x:v>
      </x:c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6" t="str">
        <x:v>Kenya fruit farmers</x:v>
      </x:c>
      <x:c r="B31" s="46" t="str">
        <x:v>Kenya</x:v>
      </x:c>
      <x:c r="C31" s="46" t="str">
        <x:v>National export context</x:v>
      </x:c>
      <x:c r="D31" s="46" t="str">
        <x:v>Principal Exports: Volume, Value and Unit Prices</x:v>
      </x:c>
      <x:c r="E31" s="46" t="str">
        <x:v>Horticulture export aggregate</x:v>
      </x:c>
      <x:c r="F31" s="46" t="str">
        <x:v>Central Bank of Kenya</x:v>
      </x:c>
      <x:c r="G31" s="67" t="str">
        <x:v>https://www.centralbank.go.ke/commodities-market-data/</x:v>
      </x:c>
      <x:c r="H31" s="46" t="str">
        <x:v>Monthly export volume/value/unit-price series; horticulture is aggregate rather than crop-specific.</x:v>
      </x:c>
      <x:c r="I31" s="46" t="str">
        <x:v>Public page</x:v>
      </x:c>
      <x:c r="J31" s="46" t="str">
        <x:v>Monthly</x:v>
      </x:c>
      <x:c r="K31" s="46" t="str">
        <x:v>LIVE / extracted</x:v>
      </x:c>
      <x:c r="L31" s="46" t="str">
        <x:v>Yes - table/page</x:v>
      </x:c>
      <x:c r="M31" s="46" t="str">
        <x:v>May 2026 horticulture average unit value shown as KSh 219,636.82/tonne; use as export context, not a farmgate price.</x:v>
      </x:c>
      <x:c r="N31" s="46" t="str">
        <x:v>Ingest as trade/export indicator, separate from market price.</x:v>
      </x:c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64" t="str">
        <x:v>All / cross-country</x:v>
      </x:c>
      <x:c r="B32" s="64" t="str">
        <x:v>Global</x:v>
      </x:c>
      <x:c r="C32" s="64" t="str">
        <x:v>Global</x:v>
      </x:c>
      <x:c r="D32" s="64" t="str">
        <x:v>Commodity Markets / Pink Sheet</x:v>
      </x:c>
      <x:c r="E32" s="64" t="str">
        <x:v>Cocoa, coffee, cotton, maize, soy, wheat, sugar, oils, banana, etc.</x:v>
      </x:c>
      <x:c r="F32" s="64" t="str">
        <x:v>World Bank Commodity Markets</x:v>
      </x:c>
      <x:c r="G32" s="66" t="str">
        <x:v>https://www.worldbank.org/en/research/commodity-markets</x:v>
      </x:c>
      <x:c r="H32" s="64" t="str">
        <x:v>Official monthly commodity benchmark workbook; direct XLSX link is available.</x:v>
      </x:c>
      <x:c r="I32" s="64" t="str">
        <x:v>Public</x:v>
      </x:c>
      <x:c r="J32" s="64" t="str">
        <x:v>Monthly</x:v>
      </x:c>
      <x:c r="K32" s="64" t="str">
        <x:v>LIVE / parsed</x:v>
      </x:c>
      <x:c r="L32" s="64" t="str">
        <x:v>Yes - XLSX</x:v>
      </x:c>
      <x:c r="M32" s="64" t="str">
        <x:v>Prior live run parsed latest month 2026-08. Direct XLSX link was confirmed, but binary could not be fetched by the browser runtime.</x:v>
      </x:c>
      <x:c r="N32" s="64" t="str">
        <x:v>Reference/benchmark load to BigQuery.</x:v>
      </x:c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6" t="str">
        <x:v>All / cross-country</x:v>
      </x:c>
      <x:c r="B33" s="46" t="str">
        <x:v>Global</x:v>
      </x:c>
      <x:c r="C33" s="46" t="str">
        <x:v>Global</x:v>
      </x:c>
      <x:c r="D33" s="46" t="str">
        <x:v>FAOSTAT Producer Prices</x:v>
      </x:c>
      <x:c r="E33" s="46" t="str">
        <x:v>Agricultural producer prices</x:v>
      </x:c>
      <x:c r="F33" s="46" t="str">
        <x:v>FAOSTAT</x:v>
      </x:c>
      <x:c r="G33" s="67" t="str">
        <x:v>https://www.fao.org/faostat/en/#data/PP</x:v>
      </x:c>
      <x:c r="H33" s="46" t="str">
        <x:v>Official producer-price data; current portal lists bulk downloads and API options.</x:v>
      </x:c>
      <x:c r="I33" s="46" t="str">
        <x:v>Public bulk download / API</x:v>
      </x:c>
      <x:c r="J33" s="46" t="str">
        <x:v>Annual / monthly</x:v>
      </x:c>
      <x:c r="K33" s="46" t="str">
        <x:v>LIVE portal + bulk</x:v>
      </x:c>
      <x:c r="L33" s="46" t="str">
        <x:v>Yes - bulk files</x:v>
      </x:c>
      <x:c r="M33" s="46" t="str">
        <x:v>Current official FAOSTAT portal and bulk-download catalog are live. A legacy API endpoint tested earlier returned Cloudflare 521, so use current bulk files/API docs rather than the legacy endpoint.</x:v>
      </x:c>
      <x:c r="N33" s="46" t="str">
        <x:v>High-value producer-price source; ingest bulk files first.</x:v>
      </x:c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64" t="str">
        <x:v>All / cross-country</x:v>
      </x:c>
      <x:c r="B34" s="64" t="str">
        <x:v>Global</x:v>
      </x:c>
      <x:c r="C34" s="64" t="str">
        <x:v>Global</x:v>
      </x:c>
      <x:c r="D34" s="64" t="str">
        <x:v>Futures quotes</x:v>
      </x:c>
      <x:c r="E34" s="64" t="str">
        <x:v>Cocoa, coffee, cotton, maize, soybean, wheat, sugar, oils, rice</x:v>
      </x:c>
      <x:c r="F34" s="64" t="str">
        <x:v>Yahoo Finance</x:v>
      </x:c>
      <x:c r="G34" s="66" t="str">
        <x:v>https://finance.yahoo.com/</x:v>
      </x:c>
      <x:c r="H34" s="64" t="str">
        <x:v>Public futures quote feed used for live benchmark samples in prior run.</x:v>
      </x:c>
      <x:c r="I34" s="64" t="str">
        <x:v>Public API/chart endpoints</x:v>
      </x:c>
      <x:c r="J34" s="64" t="str">
        <x:v>Live</x:v>
      </x:c>
      <x:c r="K34" s="64" t="str">
        <x:v>LIVE / extracted</x:v>
      </x:c>
      <x:c r="L34" s="64" t="str">
        <x:v>Yes - API/chart extraction</x:v>
      </x:c>
      <x:c r="M34" s="64" t="str">
        <x:v>Prior run returned HTTP 200 and actual futures quotes for 10 contracts on 2026-09-29.</x:v>
      </x:c>
      <x:c r="N34" s="64" t="str">
        <x:v>Streaming/scheduled futures ingest; treat as global futures, not local farm price.</x:v>
      </x:c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6" t="str">
        <x:v>Source audit</x:v>
      </x:c>
      <x:c r="B35" s="46" t="str">
        <x:v>Multiple</x:v>
      </x:c>
      <x:c r="C35" s="46" t="str">
        <x:v>As applicable</x:v>
      </x:c>
      <x:c r="D35" s="46" t="str">
        <x:v>World Bank HFCP</x:v>
      </x:c>
      <x:c r="E35" s="46" t="str">
        <x:v>As listed</x:v>
      </x:c>
      <x:c r="F35" s="46" t="str">
        <x:v>Source 2 / technical audit</x:v>
      </x:c>
      <x:c r="G35" s="67" t="str">
        <x:v>https://microdata.worldbank.org/catalog/8197</x:v>
      </x:c>
      <x:c r="H35" s="46" t="str">
        <x:v>Metadata accessible; files require login in current test.</x:v>
      </x:c>
      <x:c r="I35" s="46" t="str">
        <x:v>See remark</x:v>
      </x:c>
      <x:c r="J35" s="46" t="str">
        <x:v>As listed</x:v>
      </x:c>
      <x:c r="K35" s="46" t="str">
        <x:v>METADATA_ONLY / gated</x:v>
      </x:c>
      <x:c r="L35" s="46" t="str">
        <x:v>Maybe</x:v>
      </x:c>
      <x:c r="M35" s="46" t="str">
        <x:v>Metadata accessible; files require login in current test.</x:v>
      </x:c>
      <x:c r="N35" s="46" t="str">
        <x:v>Handoff only when access is available.</x:v>
      </x:c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64" t="str">
        <x:v>Source audit</x:v>
      </x:c>
      <x:c r="B36" s="64" t="str">
        <x:v>Multiple</x:v>
      </x:c>
      <x:c r="C36" s="64" t="str">
        <x:v>As applicable</x:v>
      </x:c>
      <x:c r="D36" s="64" t="str">
        <x:v>WFP DataBridges</x:v>
      </x:c>
      <x:c r="E36" s="64" t="str">
        <x:v>As listed</x:v>
      </x:c>
      <x:c r="F36" s="64" t="str">
        <x:v>Source 2 / technical audit</x:v>
      </x:c>
      <x:c r="G36" s="66" t="str">
        <x:v>https://gateway.api.wfp.org/vam-data-bridges/v2/Commodities/List</x:v>
      </x:c>
      <x:c r="H36" s="64" t="str">
        <x:v>Gateway returned 403 without CIAM credentials.</x:v>
      </x:c>
      <x:c r="I36" s="64" t="str">
        <x:v>See remark</x:v>
      </x:c>
      <x:c r="J36" s="64" t="str">
        <x:v>As listed</x:v>
      </x:c>
      <x:c r="K36" s="64" t="str">
        <x:v>AUTH_REQUIRED</x:v>
      </x:c>
      <x:c r="L36" s="64" t="str">
        <x:v>Maybe</x:v>
      </x:c>
      <x:c r="M36" s="64" t="str">
        <x:v>Gateway returned 403 without CIAM credentials.</x:v>
      </x:c>
      <x:c r="N36" s="64" t="str">
        <x:v>Handoff only when access is available.</x:v>
      </x:c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6" t="str">
        <x:v>Source audit</x:v>
      </x:c>
      <x:c r="B37" s="46" t="str">
        <x:v>Multiple</x:v>
      </x:c>
      <x:c r="C37" s="46" t="str">
        <x:v>As applicable</x:v>
      </x:c>
      <x:c r="D37" s="46" t="str">
        <x:v>API-Ninjas Commodity Price</x:v>
      </x:c>
      <x:c r="E37" s="46" t="str">
        <x:v>As listed</x:v>
      </x:c>
      <x:c r="F37" s="46" t="str">
        <x:v>Source 2 / technical audit</x:v>
      </x:c>
      <x:c r="G37" s="67" t="str">
        <x:v>https://api.api-ninjas.com/v1/commodityprice?name=cocoa</x:v>
      </x:c>
      <x:c r="H37" s="46" t="str">
        <x:v>Endpoint alive; 400 Missing API Key.</x:v>
      </x:c>
      <x:c r="I37" s="46" t="str">
        <x:v>See remark</x:v>
      </x:c>
      <x:c r="J37" s="46" t="str">
        <x:v>As listed</x:v>
      </x:c>
      <x:c r="K37" s="46" t="str">
        <x:v>AUTH_REQUIRED</x:v>
      </x:c>
      <x:c r="L37" s="46" t="str">
        <x:v>Maybe</x:v>
      </x:c>
      <x:c r="M37" s="46" t="str">
        <x:v>Endpoint alive; 400 Missing API Key.</x:v>
      </x:c>
      <x:c r="N37" s="46" t="str">
        <x:v>Handoff only when access is available.</x:v>
      </x:c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64" t="str">
        <x:v>Source audit</x:v>
      </x:c>
      <x:c r="B38" s="64" t="str">
        <x:v>Multiple</x:v>
      </x:c>
      <x:c r="C38" s="64" t="str">
        <x:v>As applicable</x:v>
      </x:c>
      <x:c r="D38" s="64" t="str">
        <x:v>Commodities-API</x:v>
      </x:c>
      <x:c r="E38" s="64" t="str">
        <x:v>As listed</x:v>
      </x:c>
      <x:c r="F38" s="64" t="str">
        <x:v>Source 2 / technical audit</x:v>
      </x:c>
      <x:c r="G38" s="66" t="str">
        <x:v>https://commodities-api.com/api/latest</x:v>
      </x:c>
      <x:c r="H38" s="64" t="str">
        <x:v>Endpoint alive; 401 invalid_access_key.</x:v>
      </x:c>
      <x:c r="I38" s="64" t="str">
        <x:v>See remark</x:v>
      </x:c>
      <x:c r="J38" s="64" t="str">
        <x:v>As listed</x:v>
      </x:c>
      <x:c r="K38" s="64" t="str">
        <x:v>AUTH_REQUIRED</x:v>
      </x:c>
      <x:c r="L38" s="64" t="str">
        <x:v>Maybe</x:v>
      </x:c>
      <x:c r="M38" s="64" t="str">
        <x:v>Endpoint alive; 401 invalid_access_key.</x:v>
      </x:c>
      <x:c r="N38" s="64" t="str">
        <x:v>Handoff only when access is available.</x:v>
      </x:c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6" t="str">
        <x:v>Source audit</x:v>
      </x:c>
      <x:c r="B39" s="46" t="str">
        <x:v>Multiple</x:v>
      </x:c>
      <x:c r="C39" s="46" t="str">
        <x:v>As applicable</x:v>
      </x:c>
      <x:c r="D39" s="46" t="str">
        <x:v>AFEX</x:v>
      </x:c>
      <x:c r="E39" s="46" t="str">
        <x:v>As listed</x:v>
      </x:c>
      <x:c r="F39" s="46" t="str">
        <x:v>Source 2 / technical audit</x:v>
      </x:c>
      <x:c r="G39" s="67" t="str">
        <x:v>https://xip.afex.africa/</x:v>
      </x:c>
      <x:c r="H39" s="46" t="str">
        <x:v>Portal up; API access denied without paid key.</x:v>
      </x:c>
      <x:c r="I39" s="46" t="str">
        <x:v>See remark</x:v>
      </x:c>
      <x:c r="J39" s="46" t="str">
        <x:v>As listed</x:v>
      </x:c>
      <x:c r="K39" s="46" t="str">
        <x:v>AUTH_REQUIRED</x:v>
      </x:c>
      <x:c r="L39" s="46" t="str">
        <x:v>Maybe</x:v>
      </x:c>
      <x:c r="M39" s="46" t="str">
        <x:v>Portal up; API access denied without paid key.</x:v>
      </x:c>
      <x:c r="N39" s="46" t="str">
        <x:v>Handoff only when access is available.</x:v>
      </x:c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64" t="str">
        <x:v>Source audit</x:v>
      </x:c>
      <x:c r="B40" s="64" t="str">
        <x:v>Multiple</x:v>
      </x:c>
      <x:c r="C40" s="64" t="str">
        <x:v>As applicable</x:v>
      </x:c>
      <x:c r="D40" s="64" t="str">
        <x:v>Twelve Data</x:v>
      </x:c>
      <x:c r="E40" s="64" t="str">
        <x:v>As listed</x:v>
      </x:c>
      <x:c r="F40" s="64" t="str">
        <x:v>Source 2 / technical audit</x:v>
      </x:c>
      <x:c r="G40" s="66" t="str">
        <x:v>https://api.twelvedata.com/commodities?apikey=demo</x:v>
      </x:c>
      <x:c r="H40" s="64" t="str">
        <x:v>Catalog endpoint accessible only in limited demo/auth flow; live data key not present.</x:v>
      </x:c>
      <x:c r="I40" s="64" t="str">
        <x:v>See remark</x:v>
      </x:c>
      <x:c r="J40" s="64" t="str">
        <x:v>As listed</x:v>
      </x:c>
      <x:c r="K40" s="64" t="str">
        <x:v>AUTH_REQUIRED</x:v>
      </x:c>
      <x:c r="L40" s="64" t="str">
        <x:v>Maybe</x:v>
      </x:c>
      <x:c r="M40" s="64" t="str">
        <x:v>Catalog endpoint accessible only in limited demo/auth flow; live data key not present.</x:v>
      </x:c>
      <x:c r="N40" s="64" t="str">
        <x:v>Handoff only when access is available.</x:v>
      </x:c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6" t="str">
        <x:v>Source audit</x:v>
      </x:c>
      <x:c r="B41" s="46" t="str">
        <x:v>Multiple</x:v>
      </x:c>
      <x:c r="C41" s="46" t="str">
        <x:v>As applicable</x:v>
      </x:c>
      <x:c r="D41" s="46" t="str">
        <x:v>Africa Food Prices Portal</x:v>
      </x:c>
      <x:c r="E41" s="46" t="str">
        <x:v>As listed</x:v>
      </x:c>
      <x:c r="F41" s="46" t="str">
        <x:v>Source 2 / technical audit</x:v>
      </x:c>
      <x:c r="G41" s="67" t="str">
        <x:v>https://africafoodprices.io/</x:v>
      </x:c>
      <x:c r="H41" s="46" t="str">
        <x:v>Homepage is taken down; dataset URL 404.</x:v>
      </x:c>
      <x:c r="I41" s="46" t="str">
        <x:v>See remark</x:v>
      </x:c>
      <x:c r="J41" s="46" t="str">
        <x:v>As listed</x:v>
      </x:c>
      <x:c r="K41" s="46" t="str">
        <x:v>DEAD / UNAVAILABLE</x:v>
      </x:c>
      <x:c r="L41" s="46" t="str">
        <x:v>No</x:v>
      </x:c>
      <x:c r="M41" s="46" t="str">
        <x:v>Homepage is taken down; dataset URL 404.</x:v>
      </x:c>
      <x:c r="N41" s="46" t="str">
        <x:v>Handoff only when access is available.</x:v>
      </x:c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64" t="str">
        <x:v>Source audit</x:v>
      </x:c>
      <x:c r="B42" s="64" t="str">
        <x:v>Multiple</x:v>
      </x:c>
      <x:c r="C42" s="64" t="str">
        <x:v>As applicable</x:v>
      </x:c>
      <x:c r="D42" s="64" t="str">
        <x:v>Tradefeeds</x:v>
      </x:c>
      <x:c r="E42" s="64" t="str">
        <x:v>As listed</x:v>
      </x:c>
      <x:c r="F42" s="64" t="str">
        <x:v>Source 2 / technical audit</x:v>
      </x:c>
      <x:c r="G42" s="66" t="str">
        <x:v>https://tradefeeds.com/</x:v>
      </x:c>
      <x:c r="H42" s="64" t="str">
        <x:v>API host did not resolve in prior test.</x:v>
      </x:c>
      <x:c r="I42" s="64" t="str">
        <x:v>See remark</x:v>
      </x:c>
      <x:c r="J42" s="64" t="str">
        <x:v>As listed</x:v>
      </x:c>
      <x:c r="K42" s="64" t="str">
        <x:v>DEAD / UNAVAILABLE</x:v>
      </x:c>
      <x:c r="L42" s="64" t="str">
        <x:v>No</x:v>
      </x:c>
      <x:c r="M42" s="64" t="str">
        <x:v>API host did not resolve in prior test.</x:v>
      </x:c>
      <x:c r="N42" s="64" t="str">
        <x:v>Handoff only when access is available.</x:v>
      </x:c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6" t="str">
        <x:v>Source audit</x:v>
      </x:c>
      <x:c r="B43" s="46" t="str">
        <x:v>Multiple</x:v>
      </x:c>
      <x:c r="C43" s="46" t="str">
        <x:v>As applicable</x:v>
      </x:c>
      <x:c r="D43" s="46" t="str">
        <x:v>FAO FPMA</x:v>
      </x:c>
      <x:c r="E43" s="46" t="str">
        <x:v>As listed</x:v>
      </x:c>
      <x:c r="F43" s="46" t="str">
        <x:v>Source 2 / technical audit</x:v>
      </x:c>
      <x:c r="G43" s="67" t="str">
        <x:v>https://fpma.fao.org/giews/fpmat4/#/dashboard/home</x:v>
      </x:c>
      <x:c r="H43" s="46" t="str">
        <x:v>Portal is live SPA; no documented public REST in current test.</x:v>
      </x:c>
      <x:c r="I43" s="46" t="str">
        <x:v>See remark</x:v>
      </x:c>
      <x:c r="J43" s="46" t="str">
        <x:v>As listed</x:v>
      </x:c>
      <x:c r="K43" s="46" t="str">
        <x:v>PORTAL_ONLY</x:v>
      </x:c>
      <x:c r="L43" s="46" t="str">
        <x:v>Maybe</x:v>
      </x:c>
      <x:c r="M43" s="46" t="str">
        <x:v>Portal is live SPA; no documented public REST in current test.</x:v>
      </x:c>
      <x:c r="N43" s="46" t="str">
        <x:v>Handoff only when access is available.</x:v>
      </x:c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64" t="str">
        <x:v>Source audit</x:v>
      </x:c>
      <x:c r="B44" s="64" t="str">
        <x:v>Multiple</x:v>
      </x:c>
      <x:c r="C44" s="64" t="str">
        <x:v>As applicable</x:v>
      </x:c>
      <x:c r="D44" s="64" t="str">
        <x:v>World Bank Real-Time Food Prices</x:v>
      </x:c>
      <x:c r="E44" s="64" t="str">
        <x:v>As listed</x:v>
      </x:c>
      <x:c r="F44" s="64" t="str">
        <x:v>Source 2 / technical audit</x:v>
      </x:c>
      <x:c r="G44" s="66" t="str">
        <x:v>https://microdata.worldbank.org/catalog/5712</x:v>
      </x:c>
      <x:c r="H44" s="64" t="str">
        <x:v>Metadata/catalog accessible; microdata download blocked without login in current test.</x:v>
      </x:c>
      <x:c r="I44" s="64" t="str">
        <x:v>See remark</x:v>
      </x:c>
      <x:c r="J44" s="64" t="str">
        <x:v>As listed</x:v>
      </x:c>
      <x:c r="K44" s="64" t="str">
        <x:v>METADATA_ONLY / gated</x:v>
      </x:c>
      <x:c r="L44" s="64" t="str">
        <x:v>Maybe</x:v>
      </x:c>
      <x:c r="M44" s="64" t="str">
        <x:v>Metadata/catalog accessible; microdata download blocked without login in current test.</x:v>
      </x:c>
      <x:c r="N44" s="64" t="str">
        <x:v>Handoff only when access is available.</x:v>
      </x:c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conditionalFormatting sqref="L2:L44">
    <x:cfRule type="expression" dxfId="0" priority="1">
      <x:formula>ISNUMBER(SEARCH("LIVE",L2))</x:formula>
    </x:cfRule>
    <x:cfRule type="expression" dxfId="1" priority="2">
      <x:formula>ISNUMBER(SEARCH("AUTH",L2))</x:formula>
    </x:cfRule>
    <x:cfRule type="expression" dxfId="2" priority="3">
      <x:formula>ISNUMBER(SEARCH("DEAD",L2))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46360f4b6947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10" hidden="0" customWidth="1"/>
    <x:col min="5" max="5" width="18" hidden="0" customWidth="1"/>
    <x:col min="6" max="6" width="22" hidden="0" customWidth="1"/>
    <x:col min="7" max="7" width="58" hidden="0" customWidth="1"/>
    <x:col min="8" max="8" width="26" hidden="0" customWidth="1"/>
    <x:col min="9" max="9" width="22" hidden="0" customWidth="1"/>
    <x:col min="10" max="10" width="18" hidden="0" customWidth="1"/>
    <x:col min="11" max="11" width="62" hidden="0" customWidth="1"/>
  </x:cols>
  <x:sheetData>
    <x:row r="1" ht="28" customHeight="1">
      <x:c r="A1" s="74" t="str">
        <x:v>Source</x:v>
      </x:c>
      <x:c r="B1" s="74" t="str">
        <x:v>Test ID</x:v>
      </x:c>
      <x:c r="C1" s="74" t="str">
        <x:v>Status</x:v>
      </x:c>
      <x:c r="D1" s="74" t="str">
        <x:v>HTTP</x:v>
      </x:c>
      <x:c r="E1" s="74" t="str">
        <x:v>Frequency</x:v>
      </x:c>
      <x:c r="F1" s="74" t="str">
        <x:v>Auth</x:v>
      </x:c>
      <x:c r="G1" s="74" t="str">
        <x:v>URL</x:v>
      </x:c>
      <x:c r="H1" s="74" t="str">
        <x:v>Access / format</x:v>
      </x:c>
      <x:c r="I1" s="74" t="str">
        <x:v>Observed date / version</x:v>
      </x:c>
      <x:c r="J1" s="74" t="str">
        <x:v>Status tag</x:v>
      </x:c>
      <x:c r="K1" s="74" t="str">
        <x:v>Remark</x:v>
      </x:c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64" t="str">
        <x:v>Yahoo Finance futures</x:v>
      </x:c>
      <x:c r="B2" s="64" t="str">
        <x:v>yahoo_finance</x:v>
      </x:c>
      <x:c r="C2" s="64" t="str">
        <x:v>live</x:v>
      </x:c>
      <x:c r="D2" s="64" t="n">
        <x:v>200</x:v>
      </x:c>
      <x:c r="E2" s="64" t="str">
        <x:v>live</x:v>
      </x:c>
      <x:c r="F2" s="64" t="str">
        <x:v>none</x:v>
      </x:c>
      <x:c r="G2" s="66" t="str">
        <x:v>https://finance.yahoo.com/</x:v>
      </x:c>
      <x:c r="H2" s="64" t="str"/>
      <x:c r="I2" s="64" t="str"/>
      <x:c r="J2" s="64" t="str">
        <x:v>LIVE</x:v>
      </x:c>
      <x:c r="K2" s="64" t="str">
        <x:v>Public chart API. No key. Covers cocoa, coffee, cotton, maize, soybean, wheat, sugar, oils, rice.</x:v>
      </x:c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6" t="str">
        <x:v>World Bank Pink Sheet</x:v>
      </x:c>
      <x:c r="B3" s="46" t="str">
        <x:v>worldbank_cmo</x:v>
      </x:c>
      <x:c r="C3" s="46" t="str">
        <x:v>live</x:v>
      </x:c>
      <x:c r="D3" s="46" t="n">
        <x:v>200</x:v>
      </x:c>
      <x:c r="E3" s="46" t="str">
        <x:v>monthly</x:v>
      </x:c>
      <x:c r="F3" s="46" t="str">
        <x:v>none</x:v>
      </x:c>
      <x:c r="G3" s="67" t="str">
        <x:v>https://www.worldbank.org/en/research/commodity-markets</x:v>
      </x:c>
      <x:c r="H3" s="46" t="str"/>
      <x:c r="I3" s="46" t="str"/>
      <x:c r="J3" s="46" t="str">
        <x:v>LIVE</x:v>
      </x:c>
      <x:c r="K3" s="46" t="str">
        <x:v>Monthly Excel CMO-Historical-Data-Monthly.xlsx, updated 2 Sep 2026. Latest month 2026-08.</x:v>
      </x:c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64" t="str">
        <x:v>WFP food prices (HDX)</x:v>
      </x:c>
      <x:c r="B4" s="64" t="str">
        <x:v>hdx_wfp</x:v>
      </x:c>
      <x:c r="C4" s="64" t="str">
        <x:v>live</x:v>
      </x:c>
      <x:c r="D4" s="64" t="n">
        <x:v>200</x:v>
      </x:c>
      <x:c r="E4" s="64" t="str">
        <x:v>monthly</x:v>
      </x:c>
      <x:c r="F4" s="64" t="str">
        <x:v>none</x:v>
      </x:c>
      <x:c r="G4" s="66" t="str">
        <x:v>https://data.humdata.org/dataset/wfp-food-prices-for-nigeria</x:v>
      </x:c>
      <x:c r="H4" s="64" t="str"/>
      <x:c r="I4" s="64" t="str"/>
      <x:c r="J4" s="64" t="str">
        <x:v>LIVE</x:v>
      </x:c>
      <x:c r="K4" s="64" t="str">
        <x:v>Nigeria CSV 10.8 MB, 88k rows, last obs 2026-07-15. Cassava/garri last 2023. No cocoyam/sesame/soybean.</x:v>
      </x:c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6" t="str">
        <x:v>World Bank HFCP Nigeria</x:v>
      </x:c>
      <x:c r="B5" s="46" t="str">
        <x:v>worldbank_hfcp</x:v>
      </x:c>
      <x:c r="C5" s="46" t="str">
        <x:v>metadata_only</x:v>
      </x:c>
      <x:c r="D5" s="46" t="n">
        <x:v>200</x:v>
      </x:c>
      <x:c r="E5" s="46" t="str">
        <x:v>daily</x:v>
      </x:c>
      <x:c r="F5" s="46" t="str">
        <x:v>login</x:v>
      </x:c>
      <x:c r="G5" s="67" t="str">
        <x:v>https://microdata.worldbank.org/catalog/8197</x:v>
      </x:c>
      <x:c r="H5" s="46" t="str"/>
      <x:c r="I5" s="46" t="str"/>
      <x:c r="J5" s="46" t="str">
        <x:v>METADATA_ONLY</x:v>
      </x:c>
      <x:c r="K5" s="46" t="str">
        <x:v>Catalog NGA_2025_HFCP_v01_M is open in metadata (yam, garri, maize, beans, rice, soybean, sorghum). File download returns 500 without a microdata login.</x:v>
      </x:c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64" t="str">
        <x:v>World Bank Real-Time Food Prices</x:v>
      </x:c>
      <x:c r="B6" s="64" t="str">
        <x:v>worldbank_rtp</x:v>
      </x:c>
      <x:c r="C6" s="64" t="str">
        <x:v>metadata_only</x:v>
      </x:c>
      <x:c r="D6" s="64" t="n">
        <x:v>200</x:v>
      </x:c>
      <x:c r="E6" s="64" t="str">
        <x:v>weekly</x:v>
      </x:c>
      <x:c r="F6" s="64" t="str">
        <x:v>login</x:v>
      </x:c>
      <x:c r="G6" s="66" t="str">
        <x:v>https://microdata.worldbank.org/catalog/5712</x:v>
      </x:c>
      <x:c r="H6" s="64" t="str"/>
      <x:c r="I6" s="64" t="str"/>
      <x:c r="J6" s="64" t="str">
        <x:v>METADATA_ONLY</x:v>
      </x:c>
      <x:c r="K6" s="64" t="str">
        <x:v>Catalog NGA_2021_RTFP_v02_M lists NGA_RTFP_mkt_2007_2026-08-24.csv. Direct download 500.</x:v>
      </x:c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6" t="str">
        <x:v>API-Ninjas Commodity Price</x:v>
      </x:c>
      <x:c r="B7" s="46" t="str">
        <x:v>api_ninjas</x:v>
      </x:c>
      <x:c r="C7" s="46" t="str">
        <x:v>auth_required</x:v>
      </x:c>
      <x:c r="D7" s="46" t="n">
        <x:v>400</x:v>
      </x:c>
      <x:c r="E7" s="46" t="str">
        <x:v>live</x:v>
      </x:c>
      <x:c r="F7" s="46" t="str">
        <x:v>X-Api-Key</x:v>
      </x:c>
      <x:c r="G7" s="67" t="str">
        <x:v>https://api.api-ninjas.com/v1/commodityprice?name=cocoa</x:v>
      </x:c>
      <x:c r="H7" s="46" t="str"/>
      <x:c r="I7" s="46" t="str"/>
      <x:c r="J7" s="46" t="str">
        <x:v>AUTH_REQUIRED</x:v>
      </x:c>
      <x:c r="K7" s="46" t="str">
        <x:v>Endpoint alive. Returns {"error":"Missing API Key."}. Set API_NINJAS_KEY.</x:v>
      </x:c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64" t="str">
        <x:v>Commodities-API</x:v>
      </x:c>
      <x:c r="B8" s="64" t="str">
        <x:v>commodities_api</x:v>
      </x:c>
      <x:c r="C8" s="64" t="str">
        <x:v>auth_required</x:v>
      </x:c>
      <x:c r="D8" s="64" t="n">
        <x:v>401</x:v>
      </x:c>
      <x:c r="E8" s="64" t="str">
        <x:v>live</x:v>
      </x:c>
      <x:c r="F8" s="64" t="str">
        <x:v>access_key</x:v>
      </x:c>
      <x:c r="G8" s="66" t="str">
        <x:v>https://commodities-api.com/api/latest</x:v>
      </x:c>
      <x:c r="H8" s="64" t="str"/>
      <x:c r="I8" s="64" t="str"/>
      <x:c r="J8" s="64" t="str">
        <x:v>AUTH_REQUIRED</x:v>
      </x:c>
      <x:c r="K8" s="64" t="str">
        <x:v>Endpoint alive. invalid_access_key. Set COMMODITIES_API_KEY.</x:v>
      </x:c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6" t="str">
        <x:v>Twelve Data</x:v>
      </x:c>
      <x:c r="B9" s="46" t="str">
        <x:v>twelvedata</x:v>
      </x:c>
      <x:c r="C9" s="46" t="str">
        <x:v>auth_required</x:v>
      </x:c>
      <x:c r="D9" s="46" t="n">
        <x:v>401</x:v>
      </x:c>
      <x:c r="E9" s="46" t="str">
        <x:v>live</x:v>
      </x:c>
      <x:c r="F9" s="46" t="str">
        <x:v>apikey</x:v>
      </x:c>
      <x:c r="G9" s="67" t="str">
        <x:v>https://api.twelvedata.com/commodities?apikey=demo</x:v>
      </x:c>
      <x:c r="H9" s="46" t="str"/>
      <x:c r="I9" s="46" t="str"/>
      <x:c r="J9" s="46" t="str">
        <x:v>AUTH_REQUIRED</x:v>
      </x:c>
      <x:c r="K9" s="46" t="str">
        <x:v>Endpoint alive. apikey required.</x:v>
      </x:c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64" t="str">
        <x:v>AFEX (xip.afex.africa)</x:v>
      </x:c>
      <x:c r="B10" s="64" t="str">
        <x:v>afex</x:v>
      </x:c>
      <x:c r="C10" s="64" t="str">
        <x:v>auth_required</x:v>
      </x:c>
      <x:c r="D10" s="64" t="n">
        <x:v>401</x:v>
      </x:c>
      <x:c r="E10" s="64" t="str">
        <x:v>session</x:v>
      </x:c>
      <x:c r="F10" s="64" t="str">
        <x:v>API-KEY</x:v>
      </x:c>
      <x:c r="G10" s="66" t="str">
        <x:v>https://xip.afex.africa/</x:v>
      </x:c>
      <x:c r="H10" s="64" t="str"/>
      <x:c r="I10" s="64" t="str"/>
      <x:c r="J10" s="64" t="str">
        <x:v>AUTH_REQUIRED</x:v>
      </x:c>
      <x:c r="K10" s="64" t="str">
        <x:v>Portal up. api-md.afexnigeria.com returns Auth denied (API-KEY, REQUEST-TS, HASH-KEY). Paid.</x:v>
      </x:c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6" t="str">
        <x:v>WFP DataBridges</x:v>
      </x:c>
      <x:c r="B11" s="46" t="str">
        <x:v>wfp_databridges</x:v>
      </x:c>
      <x:c r="C11" s="46" t="str">
        <x:v>auth_required</x:v>
      </x:c>
      <x:c r="D11" s="46" t="n">
        <x:v>403</x:v>
      </x:c>
      <x:c r="E11" s="46" t="str">
        <x:v>monthly</x:v>
      </x:c>
      <x:c r="F11" s="46" t="str">
        <x:v>OAuth2</x:v>
      </x:c>
      <x:c r="G11" s="67" t="str">
        <x:v>https://gateway.api.wfp.org/vam-data-bridges/v2/Commodities/List</x:v>
      </x:c>
      <x:c r="H11" s="46" t="str"/>
      <x:c r="I11" s="46" t="str"/>
      <x:c r="J11" s="46" t="str">
        <x:v>AUTH_REQUIRED</x:v>
      </x:c>
      <x:c r="K11" s="46" t="str">
        <x:v>gateway.api.wfp.org/vam-data-bridges/v2 is 403 without CIAM client id/secret.</x:v>
      </x:c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64" t="str">
        <x:v>Africa Food Prices Portal</x:v>
      </x:c>
      <x:c r="B12" s="64" t="str">
        <x:v>africafoodprices</x:v>
      </x:c>
      <x:c r="C12" s="64" t="str">
        <x:v>dead</x:v>
      </x:c>
      <x:c r="D12" s="64" t="n">
        <x:v>200</x:v>
      </x:c>
      <x:c r="E12" s="64" t="str">
        <x:v>weekly</x:v>
      </x:c>
      <x:c r="F12" s="64" t="str">
        <x:v>none</x:v>
      </x:c>
      <x:c r="G12" s="66" t="str">
        <x:v>https://africafoodprices.io/</x:v>
      </x:c>
      <x:c r="H12" s="64" t="str"/>
      <x:c r="I12" s="64" t="str"/>
      <x:c r="J12" s="64" t="str">
        <x:v>DEAD</x:v>
      </x:c>
      <x:c r="K12" s="64" t="str">
        <x:v>africafoodprices.io is taken down (“Sorry, the website has been…”). Dataset URL 404.</x:v>
      </x:c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6" t="str">
        <x:v>Tradefeeds</x:v>
      </x:c>
      <x:c r="B13" s="46" t="str">
        <x:v>tradefeeds</x:v>
      </x:c>
      <x:c r="C13" s="46" t="str">
        <x:v>dead</x:v>
      </x:c>
      <x:c r="D13" s="46" t="n">
        <x:v>0</x:v>
      </x:c>
      <x:c r="E13" s="46" t="str">
        <x:v>live</x:v>
      </x:c>
      <x:c r="F13" s="46" t="str">
        <x:v>API key</x:v>
      </x:c>
      <x:c r="G13" s="67" t="str">
        <x:v>https://tradefeeds.com/</x:v>
      </x:c>
      <x:c r="H13" s="46" t="str"/>
      <x:c r="I13" s="46" t="str"/>
      <x:c r="J13" s="46" t="str">
        <x:v>DEAD</x:v>
      </x:c>
      <x:c r="K13" s="46" t="str">
        <x:v>api.tradefeeds.com does not resolve.</x:v>
      </x:c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64" t="str">
        <x:v>FAO FPMA Tool</x:v>
      </x:c>
      <x:c r="B14" s="64" t="str">
        <x:v>fao_fpma</x:v>
      </x:c>
      <x:c r="C14" s="64" t="str">
        <x:v>no_public_api</x:v>
      </x:c>
      <x:c r="D14" s="64" t="n">
        <x:v>200</x:v>
      </x:c>
      <x:c r="E14" s="64" t="str">
        <x:v>monthly</x:v>
      </x:c>
      <x:c r="F14" s="64" t="str">
        <x:v>none</x:v>
      </x:c>
      <x:c r="G14" s="66" t="str">
        <x:v>https://fpma.fao.org/giews/fpmat4/#/dashboard/home</x:v>
      </x:c>
      <x:c r="H14" s="64" t="str"/>
      <x:c r="I14" s="64" t="str"/>
      <x:c r="J14" s="64" t="str">
        <x:v>NO_PUBLIC_API</x:v>
      </x:c>
      <x:c r="K14" s="64" t="str">
        <x:v>fpma.fao.org SPA is up. No documented public REST; /api routes redirect to the app shell. FAOSTAT API 521/timeout.</x:v>
      </x:c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6" t="str">
        <x:v>FAOSTAT prices</x:v>
      </x:c>
      <x:c r="B15" s="46" t="str">
        <x:v>fao_faostat</x:v>
      </x:c>
      <x:c r="C15" s="46" t="str">
        <x:v>down</x:v>
      </x:c>
      <x:c r="D15" s="46" t="n">
        <x:v>521</x:v>
      </x:c>
      <x:c r="E15" s="46" t="str">
        <x:v>monthly</x:v>
      </x:c>
      <x:c r="F15" s="46" t="str">
        <x:v>none</x:v>
      </x:c>
      <x:c r="G15" s="67" t="str">
        <x:v>https://www.fao.org/faostat/en/#data/PP</x:v>
      </x:c>
      <x:c r="H15" s="46" t="str"/>
      <x:c r="I15" s="46" t="str"/>
      <x:c r="J15" s="46" t="str">
        <x:v>DOWN</x:v>
      </x:c>
      <x:c r="K15" s="46" t="str">
        <x:v>fenixservices.fao.org/faostat/api timed out / Cloudflare 521.</x:v>
      </x:c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64" t="str">
        <x:v>Durban Markets</x:v>
      </x:c>
      <x:c r="B16" s="64" t="str">
        <x:v>durban_markets_live</x:v>
      </x:c>
      <x:c r="C16" s="64" t="str">
        <x:v>live / extracted</x:v>
      </x:c>
      <x:c r="D16" s="64" t="n">
        <x:v>200</x:v>
      </x:c>
      <x:c r="E16" s="64" t="str">
        <x:v>daily</x:v>
      </x:c>
      <x:c r="F16" s="64" t="str">
        <x:v>none</x:v>
      </x:c>
      <x:c r="G16" s="66" t="str">
        <x:v>https://durbanmarkets.durban.gov.za/</x:v>
      </x:c>
      <x:c r="H16" s="64" t="str">
        <x:v>HTML table</x:v>
      </x:c>
      <x:c r="I16" s="64" t="str">
        <x:v>30/Sep/2026</x:v>
      </x:c>
      <x:c r="J16" s="64" t="str">
        <x:v>LIVE</x:v>
      </x:c>
      <x:c r="K16" s="64" t="str">
        <x:v>Official table rows extracted; KZN/NATAL commodities visible.</x:v>
      </x:c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6" t="str">
        <x:v>Joburg Market</x:v>
      </x:c>
      <x:c r="B17" s="46" t="str">
        <x:v>joburg_dailyprices</x:v>
      </x:c>
      <x:c r="C17" s="46" t="str">
        <x:v>live / extracted</x:v>
      </x:c>
      <x:c r="D17" s="46" t="n">
        <x:v>200</x:v>
      </x:c>
      <x:c r="E17" s="46" t="str">
        <x:v>weekdays</x:v>
      </x:c>
      <x:c r="F17" s="46" t="str">
        <x:v>none</x:v>
      </x:c>
      <x:c r="G17" s="67" t="str">
        <x:v>https://joburgmarket.co.za/jhb-market/dailyprices.php</x:v>
      </x:c>
      <x:c r="H17" s="46" t="str">
        <x:v>HTML table</x:v>
      </x:c>
      <x:c r="I17" s="46" t="str">
        <x:v>29/Aug/2026</x:v>
      </x:c>
      <x:c r="J17" s="46" t="str">
        <x:v>LIVE</x:v>
      </x:c>
      <x:c r="K17" s="46" t="str">
        <x:v>Raw totals extracted; derived R/kg = total value / total kg. Keep raw totals.</x:v>
      </x:c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64" t="str">
        <x:v>KAMIS</x:v>
      </x:c>
      <x:c r="B18" s="64" t="str">
        <x:v>kamis_market</x:v>
      </x:c>
      <x:c r="C18" s="64" t="str">
        <x:v>live / extracted</x:v>
      </x:c>
      <x:c r="D18" s="64" t="n">
        <x:v>200</x:v>
      </x:c>
      <x:c r="E18" s="64" t="str">
        <x:v>market reporting</x:v>
      </x:c>
      <x:c r="F18" s="64" t="str">
        <x:v>none</x:v>
      </x:c>
      <x:c r="G18" s="66" t="str">
        <x:v>https://kamis.kilimo.go.ke/site/market</x:v>
      </x:c>
      <x:c r="H18" s="64" t="str">
        <x:v>HTML table + Export to Excel</x:v>
      </x:c>
      <x:c r="I18" s="64" t="str">
        <x:v>22/Apr/2026</x:v>
      </x:c>
      <x:c r="J18" s="64" t="str">
        <x:v>LIVE</x:v>
      </x:c>
      <x:c r="K18" s="64" t="str">
        <x:v>Official market table; Export to Excel control is visible.</x:v>
      </x:c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6" t="str">
        <x:v>MkulimaHub</x:v>
      </x:c>
      <x:c r="B19" s="46" t="str">
        <x:v>mkulimahub_secondary</x:v>
      </x:c>
      <x:c r="C19" s="46" t="str">
        <x:v>live / extracted</x:v>
      </x:c>
      <x:c r="D19" s="46" t="n">
        <x:v>200</x:v>
      </x:c>
      <x:c r="E19" s="46" t="str">
        <x:v>frequent</x:v>
      </x:c>
      <x:c r="F19" s="46" t="str">
        <x:v>none</x:v>
      </x:c>
      <x:c r="G19" s="67" t="str">
        <x:v>https://mkulimahub.org/market-prices</x:v>
      </x:c>
      <x:c r="H19" s="46" t="str">
        <x:v>HTML page</x:v>
      </x:c>
      <x:c r="I19" s="46" t="str">
        <x:v>14/Sep/2026</x:v>
      </x:c>
      <x:c r="J19" s="46" t="str">
        <x:v>LIVE-SECONDARY</x:v>
      </x:c>
      <x:c r="K19" s="46" t="str">
        <x:v>Secondary market-price source; used for Kenya avocado/banana cross-checks.</x:v>
      </x:c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64" t="str">
        <x:v>NBS Selected Food Price Watch</x:v>
      </x:c>
      <x:c r="B20" s="64" t="str">
        <x:v>nbs_food_watch</x:v>
      </x:c>
      <x:c r="C20" s="64" t="str">
        <x:v>live / downloadable</x:v>
      </x:c>
      <x:c r="D20" s="64" t="n">
        <x:v>200</x:v>
      </x:c>
      <x:c r="E20" s="64" t="str">
        <x:v>monthly</x:v>
      </x:c>
      <x:c r="F20" s="64" t="str">
        <x:v>none</x:v>
      </x:c>
      <x:c r="G20" s="66" t="str">
        <x:v>https://microdata.nigerianstat.gov.ng/index.php/catalog/162/related-materials</x:v>
      </x:c>
      <x:c r="H20" s="64" t="str">
        <x:v>ZIP/XLSX</x:v>
      </x:c>
      <x:c r="I20" s="64" t="str">
        <x:v>2026</x:v>
      </x:c>
      <x:c r="J20" s="64" t="str">
        <x:v>LIVE</x:v>
      </x:c>
      <x:c r="K20" s="64" t="str">
        <x:v>Official monthly download links are available, including March-May 2026.</x:v>
      </x:c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6" t="str">
        <x:v>FAOSTAT Producer Prices</x:v>
      </x:c>
      <x:c r="B21" s="46" t="str">
        <x:v>faostat_pp_bulk</x:v>
      </x:c>
      <x:c r="C21" s="46" t="str">
        <x:v>live / downloadable</x:v>
      </x:c>
      <x:c r="D21" s="46" t="n">
        <x:v>200</x:v>
      </x:c>
      <x:c r="E21" s="46" t="str">
        <x:v>annual/monthly</x:v>
      </x:c>
      <x:c r="F21" s="46" t="str">
        <x:v>none</x:v>
      </x:c>
      <x:c r="G21" s="67" t="str">
        <x:v>https://www.fao.org/faostat/en/#data/PP</x:v>
      </x:c>
      <x:c r="H21" s="46" t="str">
        <x:v>bulk download / API</x:v>
      </x:c>
      <x:c r="I21" s="46" t="str">
        <x:v>2026</x:v>
      </x:c>
      <x:c r="J21" s="46" t="str">
        <x:v>LIVE</x:v>
      </x:c>
      <x:c r="K21" s="46" t="str">
        <x:v>Current official portal/bulk download is live; use current bulk data rather than legacy endpoint.</x:v>
      </x:c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conditionalFormatting sqref="J2:J21">
    <x:cfRule type="expression" dxfId="3" priority="1">
      <x:formula>LEFT(J2,4)="LIVE"</x:formula>
    </x:cfRule>
    <x:cfRule type="expression" dxfId="4" priority="2">
      <x:formula>ISNUMBER(SEARCH("AUTH",J2))</x:formula>
    </x:cfRule>
    <x:cfRule type="expression" dxfId="5" priority="3">
      <x:formula>ISNUMBER(SEARCH("DEAD",J2))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3287d9c01445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32" hidden="0" customWidth="1"/>
    <x:col min="4" max="4" width="24" hidden="0" customWidth="1"/>
    <x:col min="5" max="5" width="28" hidden="0" customWidth="1"/>
    <x:col min="6" max="6" width="14" hidden="0" customWidth="1"/>
    <x:col min="7" max="7" width="12" hidden="0" customWidth="1"/>
    <x:col min="8" max="8" width="20" hidden="0" customWidth="1"/>
    <x:col min="9" max="9" width="26" hidden="0" customWidth="1"/>
    <x:col min="10" max="10" width="18" hidden="0" customWidth="1"/>
    <x:col min="11" max="11" width="30" hidden="0" customWidth="1"/>
    <x:col min="12" max="12" width="58" hidden="0" customWidth="1"/>
    <x:col min="13" max="13" width="46" hidden="0" customWidth="1"/>
    <x:col min="14" max="14" width="10" hidden="0" customWidth="1"/>
    <x:col min="15" max="15" width="24" hidden="0" customWidth="1"/>
    <x:col min="16" max="16" width="54" hidden="0" customWidth="1"/>
  </x:cols>
  <x:sheetData>
    <x:row r="1" ht="28" customHeight="1">
      <x:c r="A1" s="74" t="str">
        <x:v>Group</x:v>
      </x:c>
      <x:c r="B1" s="74" t="str">
        <x:v>Country</x:v>
      </x:c>
      <x:c r="C1" s="74" t="str">
        <x:v>Geography</x:v>
      </x:c>
      <x:c r="D1" s="74" t="str">
        <x:v>Commodity</x:v>
      </x:c>
      <x:c r="E1" s="74" t="str">
        <x:v>Variety</x:v>
      </x:c>
      <x:c r="F1" s="74" t="str">
        <x:v>Price</x:v>
      </x:c>
      <x:c r="G1" s="74" t="str">
        <x:v>Currency</x:v>
      </x:c>
      <x:c r="H1" s="74" t="str">
        <x:v>Unit</x:v>
      </x:c>
      <x:c r="I1" s="74" t="str">
        <x:v>Price type</x:v>
      </x:c>
      <x:c r="J1" s="74" t="str">
        <x:v>Date</x:v>
      </x:c>
      <x:c r="K1" s="74" t="str">
        <x:v>Source</x:v>
      </x:c>
      <x:c r="L1" s="74" t="str">
        <x:v>Source link</x:v>
      </x:c>
      <x:c r="M1" s="74" t="str">
        <x:v>Raw basis / extra</x:v>
      </x:c>
      <x:c r="N1" s="74" t="str">
        <x:v>Derived</x:v>
      </x:c>
      <x:c r="O1" s="74" t="str">
        <x:v>Freshness</x:v>
      </x:c>
      <x:c r="P1" s="74" t="str">
        <x:v>Remark</x:v>
      </x:c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64" t="str">
        <x:v>Cross-country / benchmark</x:v>
      </x:c>
      <x:c r="B2" s="64" t="str">
        <x:v>Global</x:v>
      </x:c>
      <x:c r="C2" s="64" t="str">
        <x:v>ICE Futures</x:v>
      </x:c>
      <x:c r="D2" s="64" t="str">
        <x:v>Cocoa</x:v>
      </x:c>
      <x:c r="E2" s="64" t="str">
        <x:v>CC=F</x:v>
      </x:c>
      <x:c r="F2" s="70" t="n">
        <x:v>5633</x:v>
      </x:c>
      <x:c r="G2" s="64" t="str">
        <x:v>USD</x:v>
      </x:c>
      <x:c r="H2" s="64" t="str">
        <x:v>metric ton</x:v>
      </x:c>
      <x:c r="I2" s="64" t="str">
        <x:v>futures</x:v>
      </x:c>
      <x:c r="J2" s="64" t="n">
        <x:v>46294.44207175926</x:v>
      </x:c>
      <x:c r="K2" s="64" t="str">
        <x:v>Yahoo Finance futures</x:v>
      </x:c>
      <x:c r="L2" s="66" t="str">
        <x:v>https://finance.yahoo.com/quote/CC=F</x:v>
      </x:c>
      <x:c r="M2" s="64" t="str"/>
      <x:c r="N2" s="64" t="str">
        <x:v>No</x:v>
      </x:c>
      <x:c r="O2" s="64" t="str">
        <x:v>live</x:v>
      </x:c>
      <x:c r="P2" s="64" t="str">
        <x:v>Existing Soko Desk live-run observation; retain source type (futures/benchmark/physical).</x:v>
      </x:c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6" t="str">
        <x:v>Cross-country / benchmark</x:v>
      </x:c>
      <x:c r="B3" s="46" t="str">
        <x:v>Global</x:v>
      </x:c>
      <x:c r="C3" s="46" t="str">
        <x:v>NY Mercantile</x:v>
      </x:c>
      <x:c r="D3" s="46" t="str">
        <x:v>Cotton</x:v>
      </x:c>
      <x:c r="E3" s="46" t="str">
        <x:v>CT=F</x:v>
      </x:c>
      <x:c r="F3" s="71" t="n">
        <x:v>80.68</x:v>
      </x:c>
      <x:c r="G3" s="46" t="str">
        <x:v>USc</x:v>
      </x:c>
      <x:c r="H3" s="46" t="str">
        <x:v>lb</x:v>
      </x:c>
      <x:c r="I3" s="46" t="str">
        <x:v>futures</x:v>
      </x:c>
      <x:c r="J3" s="46" t="n">
        <x:v>46294.39638888889</x:v>
      </x:c>
      <x:c r="K3" s="46" t="str">
        <x:v>Yahoo Finance futures</x:v>
      </x:c>
      <x:c r="L3" s="67" t="str">
        <x:v>https://finance.yahoo.com/quote/CT=F</x:v>
      </x:c>
      <x:c r="M3" s="46" t="str"/>
      <x:c r="N3" s="46" t="str">
        <x:v>No</x:v>
      </x:c>
      <x:c r="O3" s="46" t="str">
        <x:v>live</x:v>
      </x:c>
      <x:c r="P3" s="46" t="str">
        <x:v>Existing Soko Desk live-run observation; retain source type (futures/benchmark/physical).</x:v>
      </x:c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64" t="str">
        <x:v>Cross-country / benchmark</x:v>
      </x:c>
      <x:c r="B4" s="64" t="str">
        <x:v>Global</x:v>
      </x:c>
      <x:c r="C4" s="64" t="str">
        <x:v>ICE Futures</x:v>
      </x:c>
      <x:c r="D4" s="64" t="str">
        <x:v>Coffee</x:v>
      </x:c>
      <x:c r="E4" s="64" t="str">
        <x:v>KC=F</x:v>
      </x:c>
      <x:c r="F4" s="70" t="n">
        <x:v>287.3</x:v>
      </x:c>
      <x:c r="G4" s="64" t="str">
        <x:v>USc</x:v>
      </x:c>
      <x:c r="H4" s="64" t="str">
        <x:v>lb</x:v>
      </x:c>
      <x:c r="I4" s="64" t="str">
        <x:v>futures</x:v>
      </x:c>
      <x:c r="J4" s="64" t="n">
        <x:v>46294.44215277778</x:v>
      </x:c>
      <x:c r="K4" s="64" t="str">
        <x:v>Yahoo Finance futures</x:v>
      </x:c>
      <x:c r="L4" s="66" t="str">
        <x:v>https://finance.yahoo.com/quote/KC=F</x:v>
      </x:c>
      <x:c r="M4" s="64" t="str"/>
      <x:c r="N4" s="64" t="str">
        <x:v>No</x:v>
      </x:c>
      <x:c r="O4" s="64" t="str">
        <x:v>live</x:v>
      </x:c>
      <x:c r="P4" s="64" t="str">
        <x:v>Existing Soko Desk live-run observation; retain source type (futures/benchmark/physical).</x:v>
      </x:c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6" t="str">
        <x:v>Cross-country / benchmark</x:v>
      </x:c>
      <x:c r="B5" s="46" t="str">
        <x:v>Global</x:v>
      </x:c>
      <x:c r="C5" s="46" t="str">
        <x:v>ICE Futures</x:v>
      </x:c>
      <x:c r="D5" s="46" t="str">
        <x:v>Sugar</x:v>
      </x:c>
      <x:c r="E5" s="46" t="str">
        <x:v>SB=F</x:v>
      </x:c>
      <x:c r="F5" s="71" t="n">
        <x:v>18.47</x:v>
      </x:c>
      <x:c r="G5" s="46" t="str">
        <x:v>USc</x:v>
      </x:c>
      <x:c r="H5" s="46" t="str">
        <x:v>lb</x:v>
      </x:c>
      <x:c r="I5" s="46" t="str">
        <x:v>futures</x:v>
      </x:c>
      <x:c r="J5" s="46" t="n">
        <x:v>46294.4422337963</x:v>
      </x:c>
      <x:c r="K5" s="46" t="str">
        <x:v>Yahoo Finance futures</x:v>
      </x:c>
      <x:c r="L5" s="67" t="str">
        <x:v>https://finance.yahoo.com/quote/SB=F</x:v>
      </x:c>
      <x:c r="M5" s="46" t="str"/>
      <x:c r="N5" s="46" t="str">
        <x:v>No</x:v>
      </x:c>
      <x:c r="O5" s="46" t="str">
        <x:v>live</x:v>
      </x:c>
      <x:c r="P5" s="46" t="str">
        <x:v>Existing Soko Desk live-run observation; retain source type (futures/benchmark/physical).</x:v>
      </x:c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64" t="str">
        <x:v>Cross-country / benchmark</x:v>
      </x:c>
      <x:c r="B6" s="64" t="str">
        <x:v>Global</x:v>
      </x:c>
      <x:c r="C6" s="64" t="str">
        <x:v>CBOT</x:v>
      </x:c>
      <x:c r="D6" s="64" t="str">
        <x:v>Maize / Corn</x:v>
      </x:c>
      <x:c r="E6" s="64" t="str">
        <x:v>ZC=F</x:v>
      </x:c>
      <x:c r="F6" s="70" t="n">
        <x:v>522</x:v>
      </x:c>
      <x:c r="G6" s="64" t="str">
        <x:v>USc</x:v>
      </x:c>
      <x:c r="H6" s="64" t="str">
        <x:v>bushel</x:v>
      </x:c>
      <x:c r="I6" s="64" t="str">
        <x:v>futures</x:v>
      </x:c>
      <x:c r="J6" s="64" t="n">
        <x:v>46294.44805555556</x:v>
      </x:c>
      <x:c r="K6" s="64" t="str">
        <x:v>Yahoo Finance futures</x:v>
      </x:c>
      <x:c r="L6" s="66" t="str">
        <x:v>https://finance.yahoo.com/quote/ZC=F</x:v>
      </x:c>
      <x:c r="M6" s="64" t="str"/>
      <x:c r="N6" s="64" t="str">
        <x:v>No</x:v>
      </x:c>
      <x:c r="O6" s="64" t="str">
        <x:v>live</x:v>
      </x:c>
      <x:c r="P6" s="64" t="str">
        <x:v>Existing Soko Desk live-run observation; retain source type (futures/benchmark/physical).</x:v>
      </x:c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6" t="str">
        <x:v>Cross-country / benchmark</x:v>
      </x:c>
      <x:c r="B7" s="46" t="str">
        <x:v>Global</x:v>
      </x:c>
      <x:c r="C7" s="46" t="str">
        <x:v>CBOT</x:v>
      </x:c>
      <x:c r="D7" s="46" t="str">
        <x:v>Soybean oil</x:v>
      </x:c>
      <x:c r="E7" s="46" t="str">
        <x:v>ZL=F</x:v>
      </x:c>
      <x:c r="F7" s="71" t="n">
        <x:v>67.96</x:v>
      </x:c>
      <x:c r="G7" s="46" t="str">
        <x:v>USc</x:v>
      </x:c>
      <x:c r="H7" s="46" t="str">
        <x:v>lb</x:v>
      </x:c>
      <x:c r="I7" s="46" t="str">
        <x:v>futures</x:v>
      </x:c>
      <x:c r="J7" s="46" t="n">
        <x:v>46294.44863425926</x:v>
      </x:c>
      <x:c r="K7" s="46" t="str">
        <x:v>Yahoo Finance futures</x:v>
      </x:c>
      <x:c r="L7" s="67" t="str">
        <x:v>https://finance.yahoo.com/quote/ZL=F</x:v>
      </x:c>
      <x:c r="M7" s="46" t="str"/>
      <x:c r="N7" s="46" t="str">
        <x:v>No</x:v>
      </x:c>
      <x:c r="O7" s="46" t="str">
        <x:v>live</x:v>
      </x:c>
      <x:c r="P7" s="46" t="str">
        <x:v>Existing Soko Desk live-run observation; retain source type (futures/benchmark/physical).</x:v>
      </x:c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64" t="str">
        <x:v>Cross-country / benchmark</x:v>
      </x:c>
      <x:c r="B8" s="64" t="str">
        <x:v>Global</x:v>
      </x:c>
      <x:c r="C8" s="64" t="str">
        <x:v>CBOT</x:v>
      </x:c>
      <x:c r="D8" s="64" t="str">
        <x:v>Soybean meal</x:v>
      </x:c>
      <x:c r="E8" s="64" t="str">
        <x:v>ZM=F</x:v>
      </x:c>
      <x:c r="F8" s="70" t="n">
        <x:v>357</x:v>
      </x:c>
      <x:c r="G8" s="64" t="str">
        <x:v>USD</x:v>
      </x:c>
      <x:c r="H8" s="64" t="str">
        <x:v>short ton</x:v>
      </x:c>
      <x:c r="I8" s="64" t="str">
        <x:v>futures</x:v>
      </x:c>
      <x:c r="J8" s="64" t="n">
        <x:v>46294.44907407407</x:v>
      </x:c>
      <x:c r="K8" s="64" t="str">
        <x:v>Yahoo Finance futures</x:v>
      </x:c>
      <x:c r="L8" s="66" t="str">
        <x:v>https://finance.yahoo.com/quote/ZM=F</x:v>
      </x:c>
      <x:c r="M8" s="64" t="str"/>
      <x:c r="N8" s="64" t="str">
        <x:v>No</x:v>
      </x:c>
      <x:c r="O8" s="64" t="str">
        <x:v>live</x:v>
      </x:c>
      <x:c r="P8" s="64" t="str">
        <x:v>Existing Soko Desk live-run observation; retain source type (futures/benchmark/physical).</x:v>
      </x:c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6" t="str">
        <x:v>Cross-country / benchmark</x:v>
      </x:c>
      <x:c r="B9" s="46" t="str">
        <x:v>Global</x:v>
      </x:c>
      <x:c r="C9" s="46" t="str">
        <x:v>CBOT</x:v>
      </x:c>
      <x:c r="D9" s="46" t="str">
        <x:v>Rice (rough, global)</x:v>
      </x:c>
      <x:c r="E9" s="46" t="str">
        <x:v>ZR=F</x:v>
      </x:c>
      <x:c r="F9" s="71" t="n">
        <x:v>16.4</x:v>
      </x:c>
      <x:c r="G9" s="46" t="str">
        <x:v>USD</x:v>
      </x:c>
      <x:c r="H9" s="46" t="str">
        <x:v>cwt</x:v>
      </x:c>
      <x:c r="I9" s="46" t="str">
        <x:v>futures</x:v>
      </x:c>
      <x:c r="J9" s="46" t="n">
        <x:v>46294.063263888886</x:v>
      </x:c>
      <x:c r="K9" s="46" t="str">
        <x:v>Yahoo Finance futures</x:v>
      </x:c>
      <x:c r="L9" s="67" t="str">
        <x:v>https://finance.yahoo.com/quote/ZR=F</x:v>
      </x:c>
      <x:c r="M9" s="46" t="str"/>
      <x:c r="N9" s="46" t="str">
        <x:v>No</x:v>
      </x:c>
      <x:c r="O9" s="46" t="str">
        <x:v>live</x:v>
      </x:c>
      <x:c r="P9" s="46" t="str">
        <x:v>Existing Soko Desk live-run observation; retain source type (futures/benchmark/physical).</x:v>
      </x:c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64" t="str">
        <x:v>Cross-country / benchmark</x:v>
      </x:c>
      <x:c r="B10" s="64" t="str">
        <x:v>Global</x:v>
      </x:c>
      <x:c r="C10" s="64" t="str">
        <x:v>CBOT</x:v>
      </x:c>
      <x:c r="D10" s="64" t="str">
        <x:v>Soybean</x:v>
      </x:c>
      <x:c r="E10" s="64" t="str">
        <x:v>ZS=F</x:v>
      </x:c>
      <x:c r="F10" s="70" t="n">
        <x:v>1287.75</x:v>
      </x:c>
      <x:c r="G10" s="64" t="str">
        <x:v>USc</x:v>
      </x:c>
      <x:c r="H10" s="64" t="str">
        <x:v>bushel</x:v>
      </x:c>
      <x:c r="I10" s="64" t="str">
        <x:v>futures</x:v>
      </x:c>
      <x:c r="J10" s="64" t="n">
        <x:v>46294.44907407407</x:v>
      </x:c>
      <x:c r="K10" s="64" t="str">
        <x:v>Yahoo Finance futures</x:v>
      </x:c>
      <x:c r="L10" s="66" t="str">
        <x:v>https://finance.yahoo.com/quote/ZS=F</x:v>
      </x:c>
      <x:c r="M10" s="64" t="str"/>
      <x:c r="N10" s="64" t="str">
        <x:v>No</x:v>
      </x:c>
      <x:c r="O10" s="64" t="str">
        <x:v>live</x:v>
      </x:c>
      <x:c r="P10" s="64" t="str">
        <x:v>Existing Soko Desk live-run observation; retain source type (futures/benchmark/physical).</x:v>
      </x:c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6" t="str">
        <x:v>Cross-country / benchmark</x:v>
      </x:c>
      <x:c r="B11" s="46" t="str">
        <x:v>Global</x:v>
      </x:c>
      <x:c r="C11" s="46" t="str">
        <x:v>CBOT</x:v>
      </x:c>
      <x:c r="D11" s="46" t="str">
        <x:v>Wheat</x:v>
      </x:c>
      <x:c r="E11" s="46" t="str">
        <x:v>ZW=F</x:v>
      </x:c>
      <x:c r="F11" s="71" t="n">
        <x:v>683.25</x:v>
      </x:c>
      <x:c r="G11" s="46" t="str">
        <x:v>USc</x:v>
      </x:c>
      <x:c r="H11" s="46" t="str">
        <x:v>bushel</x:v>
      </x:c>
      <x:c r="I11" s="46" t="str">
        <x:v>futures</x:v>
      </x:c>
      <x:c r="J11" s="46" t="n">
        <x:v>46294.44918981481</x:v>
      </x:c>
      <x:c r="K11" s="46" t="str">
        <x:v>Yahoo Finance futures</x:v>
      </x:c>
      <x:c r="L11" s="67" t="str">
        <x:v>https://finance.yahoo.com/quote/ZW=F</x:v>
      </x:c>
      <x:c r="M11" s="46" t="str"/>
      <x:c r="N11" s="46" t="str">
        <x:v>No</x:v>
      </x:c>
      <x:c r="O11" s="46" t="str">
        <x:v>live</x:v>
      </x:c>
      <x:c r="P11" s="46" t="str">
        <x:v>Existing Soko Desk live-run observation; retain source type (futures/benchmark/physical).</x:v>
      </x:c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64" t="str">
        <x:v>Cross-country / benchmark</x:v>
      </x:c>
      <x:c r="B12" s="64" t="str">
        <x:v>Global</x:v>
      </x:c>
      <x:c r="C12" s="64" t="str">
        <x:v>World Bank CMO</x:v>
      </x:c>
      <x:c r="D12" s="64" t="str">
        <x:v>Cocoa</x:v>
      </x:c>
      <x:c r="E12" s="64" t="str">
        <x:v>Cocoa</x:v>
      </x:c>
      <x:c r="F12" s="70" t="n">
        <x:v>5.95</x:v>
      </x:c>
      <x:c r="G12" s="64" t="str">
        <x:v>USD</x:v>
      </x:c>
      <x:c r="H12" s="64" t="str">
        <x:v>$/kg</x:v>
      </x:c>
      <x:c r="I12" s="64" t="str">
        <x:v>benchmark</x:v>
      </x:c>
      <x:c r="J12" s="64" t="str">
        <x:v>2026-08-01</x:v>
      </x:c>
      <x:c r="K12" s="64" t="str">
        <x:v>World Bank Pink Sheet</x:v>
      </x:c>
      <x:c r="L12" s="66" t="str">
        <x:v>https://www.worldbank.org/en/research/commodity-markets</x:v>
      </x:c>
      <x:c r="M12" s="64" t="str"/>
      <x:c r="N12" s="64" t="str">
        <x:v>No</x:v>
      </x:c>
      <x:c r="O12" s="64" t="str">
        <x:v>monthly</x:v>
      </x:c>
      <x:c r="P12" s="64" t="str">
        <x:v>Existing Soko Desk live-run observation; retain source type (futures/benchmark/physical).</x:v>
      </x:c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6" t="str">
        <x:v>Cross-country / benchmark</x:v>
      </x:c>
      <x:c r="B13" s="46" t="str">
        <x:v>Global</x:v>
      </x:c>
      <x:c r="C13" s="46" t="str">
        <x:v>World Bank CMO</x:v>
      </x:c>
      <x:c r="D13" s="46" t="str">
        <x:v>Coffee</x:v>
      </x:c>
      <x:c r="E13" s="46" t="str">
        <x:v>Coffee, Arabica</x:v>
      </x:c>
      <x:c r="F13" s="71" t="n">
        <x:v>7.97</x:v>
      </x:c>
      <x:c r="G13" s="46" t="str">
        <x:v>USD</x:v>
      </x:c>
      <x:c r="H13" s="46" t="str">
        <x:v>$/kg</x:v>
      </x:c>
      <x:c r="I13" s="46" t="str">
        <x:v>benchmark</x:v>
      </x:c>
      <x:c r="J13" s="46" t="str">
        <x:v>2026-08-01</x:v>
      </x:c>
      <x:c r="K13" s="46" t="str">
        <x:v>World Bank Pink Sheet</x:v>
      </x:c>
      <x:c r="L13" s="67" t="str">
        <x:v>https://www.worldbank.org/en/research/commodity-markets</x:v>
      </x:c>
      <x:c r="M13" s="46" t="str"/>
      <x:c r="N13" s="46" t="str">
        <x:v>No</x:v>
      </x:c>
      <x:c r="O13" s="46" t="str">
        <x:v>monthly</x:v>
      </x:c>
      <x:c r="P13" s="46" t="str">
        <x:v>Existing Soko Desk live-run observation; retain source type (futures/benchmark/physical).</x:v>
      </x:c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64" t="str">
        <x:v>Cross-country / benchmark</x:v>
      </x:c>
      <x:c r="B14" s="64" t="str">
        <x:v>Global</x:v>
      </x:c>
      <x:c r="C14" s="64" t="str">
        <x:v>World Bank CMO</x:v>
      </x:c>
      <x:c r="D14" s="64" t="str">
        <x:v>Coffee</x:v>
      </x:c>
      <x:c r="E14" s="64" t="str">
        <x:v>Coffee, Robusta</x:v>
      </x:c>
      <x:c r="F14" s="70" t="n">
        <x:v>3.98</x:v>
      </x:c>
      <x:c r="G14" s="64" t="str">
        <x:v>USD</x:v>
      </x:c>
      <x:c r="H14" s="64" t="str">
        <x:v>$/kg</x:v>
      </x:c>
      <x:c r="I14" s="64" t="str">
        <x:v>benchmark</x:v>
      </x:c>
      <x:c r="J14" s="64" t="str">
        <x:v>2026-08-01</x:v>
      </x:c>
      <x:c r="K14" s="64" t="str">
        <x:v>World Bank Pink Sheet</x:v>
      </x:c>
      <x:c r="L14" s="66" t="str">
        <x:v>https://www.worldbank.org/en/research/commodity-markets</x:v>
      </x:c>
      <x:c r="M14" s="64" t="str"/>
      <x:c r="N14" s="64" t="str">
        <x:v>No</x:v>
      </x:c>
      <x:c r="O14" s="64" t="str">
        <x:v>monthly</x:v>
      </x:c>
      <x:c r="P14" s="64" t="str">
        <x:v>Existing Soko Desk live-run observation; retain source type (futures/benchmark/physical).</x:v>
      </x:c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6" t="str">
        <x:v>Cross-country / benchmark</x:v>
      </x:c>
      <x:c r="B15" s="46" t="str">
        <x:v>Global</x:v>
      </x:c>
      <x:c r="C15" s="46" t="str">
        <x:v>World Bank CMO</x:v>
      </x:c>
      <x:c r="D15" s="46" t="str">
        <x:v>Palm oil</x:v>
      </x:c>
      <x:c r="E15" s="46" t="str">
        <x:v>Palm oil</x:v>
      </x:c>
      <x:c r="F15" s="71" t="n">
        <x:v>1117</x:v>
      </x:c>
      <x:c r="G15" s="46" t="str">
        <x:v>USD</x:v>
      </x:c>
      <x:c r="H15" s="46" t="str">
        <x:v>$/mt</x:v>
      </x:c>
      <x:c r="I15" s="46" t="str">
        <x:v>benchmark</x:v>
      </x:c>
      <x:c r="J15" s="46" t="str">
        <x:v>2026-08-01</x:v>
      </x:c>
      <x:c r="K15" s="46" t="str">
        <x:v>World Bank Pink Sheet</x:v>
      </x:c>
      <x:c r="L15" s="67" t="str">
        <x:v>https://www.worldbank.org/en/research/commodity-markets</x:v>
      </x:c>
      <x:c r="M15" s="46" t="str"/>
      <x:c r="N15" s="46" t="str">
        <x:v>No</x:v>
      </x:c>
      <x:c r="O15" s="46" t="str">
        <x:v>monthly</x:v>
      </x:c>
      <x:c r="P15" s="46" t="str">
        <x:v>Existing Soko Desk live-run observation; retain source type (futures/benchmark/physical).</x:v>
      </x:c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64" t="str">
        <x:v>Cross-country / benchmark</x:v>
      </x:c>
      <x:c r="B16" s="64" t="str">
        <x:v>Global</x:v>
      </x:c>
      <x:c r="C16" s="64" t="str">
        <x:v>World Bank CMO</x:v>
      </x:c>
      <x:c r="D16" s="64" t="str">
        <x:v>Soybean</x:v>
      </x:c>
      <x:c r="E16" s="64" t="str">
        <x:v>Soybeans</x:v>
      </x:c>
      <x:c r="F16" s="70" t="n">
        <x:v>482</x:v>
      </x:c>
      <x:c r="G16" s="64" t="str">
        <x:v>USD</x:v>
      </x:c>
      <x:c r="H16" s="64" t="str">
        <x:v>$/mt</x:v>
      </x:c>
      <x:c r="I16" s="64" t="str">
        <x:v>benchmark</x:v>
      </x:c>
      <x:c r="J16" s="64" t="str">
        <x:v>2026-08-01</x:v>
      </x:c>
      <x:c r="K16" s="64" t="str">
        <x:v>World Bank Pink Sheet</x:v>
      </x:c>
      <x:c r="L16" s="66" t="str">
        <x:v>https://www.worldbank.org/en/research/commodity-markets</x:v>
      </x:c>
      <x:c r="M16" s="64" t="str"/>
      <x:c r="N16" s="64" t="str">
        <x:v>No</x:v>
      </x:c>
      <x:c r="O16" s="64" t="str">
        <x:v>monthly</x:v>
      </x:c>
      <x:c r="P16" s="64" t="str">
        <x:v>Existing Soko Desk live-run observation; retain source type (futures/benchmark/physical).</x:v>
      </x:c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6" t="str">
        <x:v>Cross-country / benchmark</x:v>
      </x:c>
      <x:c r="B17" s="46" t="str">
        <x:v>Global</x:v>
      </x:c>
      <x:c r="C17" s="46" t="str">
        <x:v>World Bank CMO</x:v>
      </x:c>
      <x:c r="D17" s="46" t="str">
        <x:v>Soybean oil</x:v>
      </x:c>
      <x:c r="E17" s="46" t="str">
        <x:v>Soybean oil</x:v>
      </x:c>
      <x:c r="F17" s="71" t="n">
        <x:v>1638</x:v>
      </x:c>
      <x:c r="G17" s="46" t="str">
        <x:v>USD</x:v>
      </x:c>
      <x:c r="H17" s="46" t="str">
        <x:v>$/mt</x:v>
      </x:c>
      <x:c r="I17" s="46" t="str">
        <x:v>benchmark</x:v>
      </x:c>
      <x:c r="J17" s="46" t="str">
        <x:v>2026-08-01</x:v>
      </x:c>
      <x:c r="K17" s="46" t="str">
        <x:v>World Bank Pink Sheet</x:v>
      </x:c>
      <x:c r="L17" s="67" t="str">
        <x:v>https://www.worldbank.org/en/research/commodity-markets</x:v>
      </x:c>
      <x:c r="M17" s="46" t="str"/>
      <x:c r="N17" s="46" t="str">
        <x:v>No</x:v>
      </x:c>
      <x:c r="O17" s="46" t="str">
        <x:v>monthly</x:v>
      </x:c>
      <x:c r="P17" s="46" t="str">
        <x:v>Existing Soko Desk live-run observation; retain source type (futures/benchmark/physical).</x:v>
      </x:c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64" t="str">
        <x:v>Cross-country / benchmark</x:v>
      </x:c>
      <x:c r="B18" s="64" t="str">
        <x:v>Global</x:v>
      </x:c>
      <x:c r="C18" s="64" t="str">
        <x:v>World Bank CMO</x:v>
      </x:c>
      <x:c r="D18" s="64" t="str">
        <x:v>Soybean meal</x:v>
      </x:c>
      <x:c r="E18" s="64" t="str">
        <x:v>Soybean meal</x:v>
      </x:c>
      <x:c r="F18" s="70" t="n">
        <x:v>403</x:v>
      </x:c>
      <x:c r="G18" s="64" t="str">
        <x:v>USD</x:v>
      </x:c>
      <x:c r="H18" s="64" t="str">
        <x:v>$/mt</x:v>
      </x:c>
      <x:c r="I18" s="64" t="str">
        <x:v>benchmark</x:v>
      </x:c>
      <x:c r="J18" s="64" t="str">
        <x:v>2026-08-01</x:v>
      </x:c>
      <x:c r="K18" s="64" t="str">
        <x:v>World Bank Pink Sheet</x:v>
      </x:c>
      <x:c r="L18" s="66" t="str">
        <x:v>https://www.worldbank.org/en/research/commodity-markets</x:v>
      </x:c>
      <x:c r="M18" s="64" t="str"/>
      <x:c r="N18" s="64" t="str">
        <x:v>No</x:v>
      </x:c>
      <x:c r="O18" s="64" t="str">
        <x:v>monthly</x:v>
      </x:c>
      <x:c r="P18" s="64" t="str">
        <x:v>Existing Soko Desk live-run observation; retain source type (futures/benchmark/physical).</x:v>
      </x:c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6" t="str">
        <x:v>Cross-country / benchmark</x:v>
      </x:c>
      <x:c r="B19" s="46" t="str">
        <x:v>Global</x:v>
      </x:c>
      <x:c r="C19" s="46" t="str">
        <x:v>World Bank CMO</x:v>
      </x:c>
      <x:c r="D19" s="46" t="str">
        <x:v>Rapeseed / canola oil</x:v>
      </x:c>
      <x:c r="E19" s="46" t="str">
        <x:v>Rapeseed oil</x:v>
      </x:c>
      <x:c r="F19" s="71" t="n">
        <x:v>1474</x:v>
      </x:c>
      <x:c r="G19" s="46" t="str">
        <x:v>USD</x:v>
      </x:c>
      <x:c r="H19" s="46" t="str">
        <x:v>$/mt</x:v>
      </x:c>
      <x:c r="I19" s="46" t="str">
        <x:v>benchmark</x:v>
      </x:c>
      <x:c r="J19" s="46" t="str">
        <x:v>2026-08-01</x:v>
      </x:c>
      <x:c r="K19" s="46" t="str">
        <x:v>World Bank Pink Sheet</x:v>
      </x:c>
      <x:c r="L19" s="67" t="str">
        <x:v>https://www.worldbank.org/en/research/commodity-markets</x:v>
      </x:c>
      <x:c r="M19" s="46" t="str"/>
      <x:c r="N19" s="46" t="str">
        <x:v>No</x:v>
      </x:c>
      <x:c r="O19" s="46" t="str">
        <x:v>monthly</x:v>
      </x:c>
      <x:c r="P19" s="46" t="str">
        <x:v>Existing Soko Desk live-run observation; retain source type (futures/benchmark/physical).</x:v>
      </x:c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64" t="str">
        <x:v>Cross-country / benchmark</x:v>
      </x:c>
      <x:c r="B20" s="64" t="str">
        <x:v>Global</x:v>
      </x:c>
      <x:c r="C20" s="64" t="str">
        <x:v>World Bank CMO</x:v>
      </x:c>
      <x:c r="D20" s="64" t="str">
        <x:v>Sunflower oil</x:v>
      </x:c>
      <x:c r="E20" s="64" t="str">
        <x:v>Sunflower oil</x:v>
      </x:c>
      <x:c r="F20" s="70" t="n">
        <x:v>1492</x:v>
      </x:c>
      <x:c r="G20" s="64" t="str">
        <x:v>USD</x:v>
      </x:c>
      <x:c r="H20" s="64" t="str">
        <x:v>$/mt</x:v>
      </x:c>
      <x:c r="I20" s="64" t="str">
        <x:v>benchmark</x:v>
      </x:c>
      <x:c r="J20" s="64" t="str">
        <x:v>2026-08-01</x:v>
      </x:c>
      <x:c r="K20" s="64" t="str">
        <x:v>World Bank Pink Sheet</x:v>
      </x:c>
      <x:c r="L20" s="66" t="str">
        <x:v>https://www.worldbank.org/en/research/commodity-markets</x:v>
      </x:c>
      <x:c r="M20" s="64" t="str"/>
      <x:c r="N20" s="64" t="str">
        <x:v>No</x:v>
      </x:c>
      <x:c r="O20" s="64" t="str">
        <x:v>monthly</x:v>
      </x:c>
      <x:c r="P20" s="64" t="str">
        <x:v>Existing Soko Desk live-run observation; retain source type (futures/benchmark/physical).</x:v>
      </x:c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6" t="str">
        <x:v>Cross-country / benchmark</x:v>
      </x:c>
      <x:c r="B21" s="46" t="str">
        <x:v>Global</x:v>
      </x:c>
      <x:c r="C21" s="46" t="str">
        <x:v>World Bank CMO</x:v>
      </x:c>
      <x:c r="D21" s="46" t="str">
        <x:v>Maize / Corn</x:v>
      </x:c>
      <x:c r="E21" s="46" t="str">
        <x:v>Maize</x:v>
      </x:c>
      <x:c r="F21" s="71" t="n">
        <x:v>224</x:v>
      </x:c>
      <x:c r="G21" s="46" t="str">
        <x:v>USD</x:v>
      </x:c>
      <x:c r="H21" s="46" t="str">
        <x:v>$/mt</x:v>
      </x:c>
      <x:c r="I21" s="46" t="str">
        <x:v>benchmark</x:v>
      </x:c>
      <x:c r="J21" s="46" t="str">
        <x:v>2026-08-01</x:v>
      </x:c>
      <x:c r="K21" s="46" t="str">
        <x:v>World Bank Pink Sheet</x:v>
      </x:c>
      <x:c r="L21" s="67" t="str">
        <x:v>https://www.worldbank.org/en/research/commodity-markets</x:v>
      </x:c>
      <x:c r="M21" s="46" t="str"/>
      <x:c r="N21" s="46" t="str">
        <x:v>No</x:v>
      </x:c>
      <x:c r="O21" s="46" t="str">
        <x:v>monthly</x:v>
      </x:c>
      <x:c r="P21" s="46" t="str">
        <x:v>Existing Soko Desk live-run observation; retain source type (futures/benchmark/physical).</x:v>
      </x:c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64" t="str">
        <x:v>Cross-country / benchmark</x:v>
      </x:c>
      <x:c r="B22" s="64" t="str">
        <x:v>Global</x:v>
      </x:c>
      <x:c r="C22" s="64" t="str">
        <x:v>World Bank CMO</x:v>
      </x:c>
      <x:c r="D22" s="64" t="str">
        <x:v>Wheat</x:v>
      </x:c>
      <x:c r="E22" s="64" t="str">
        <x:v>Wheat, US SRW</x:v>
      </x:c>
      <x:c r="F22" s="70" t="n">
        <x:v>263.2</x:v>
      </x:c>
      <x:c r="G22" s="64" t="str">
        <x:v>USD</x:v>
      </x:c>
      <x:c r="H22" s="64" t="str">
        <x:v>$/mt</x:v>
      </x:c>
      <x:c r="I22" s="64" t="str">
        <x:v>benchmark</x:v>
      </x:c>
      <x:c r="J22" s="64" t="str">
        <x:v>2026-08-01</x:v>
      </x:c>
      <x:c r="K22" s="64" t="str">
        <x:v>World Bank Pink Sheet</x:v>
      </x:c>
      <x:c r="L22" s="66" t="str">
        <x:v>https://www.worldbank.org/en/research/commodity-markets</x:v>
      </x:c>
      <x:c r="M22" s="64" t="str"/>
      <x:c r="N22" s="64" t="str">
        <x:v>No</x:v>
      </x:c>
      <x:c r="O22" s="64" t="str">
        <x:v>monthly</x:v>
      </x:c>
      <x:c r="P22" s="64" t="str">
        <x:v>Existing Soko Desk live-run observation; retain source type (futures/benchmark/physical).</x:v>
      </x:c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6" t="str">
        <x:v>Cross-country / benchmark</x:v>
      </x:c>
      <x:c r="B23" s="46" t="str">
        <x:v>Global</x:v>
      </x:c>
      <x:c r="C23" s="46" t="str">
        <x:v>World Bank CMO</x:v>
      </x:c>
      <x:c r="D23" s="46" t="str">
        <x:v>Wheat</x:v>
      </x:c>
      <x:c r="E23" s="46" t="str">
        <x:v>Wheat, US HRW</x:v>
      </x:c>
      <x:c r="F23" s="71" t="n">
        <x:v>330</x:v>
      </x:c>
      <x:c r="G23" s="46" t="str">
        <x:v>USD</x:v>
      </x:c>
      <x:c r="H23" s="46" t="str">
        <x:v>$/mt</x:v>
      </x:c>
      <x:c r="I23" s="46" t="str">
        <x:v>benchmark</x:v>
      </x:c>
      <x:c r="J23" s="46" t="str">
        <x:v>2026-08-01</x:v>
      </x:c>
      <x:c r="K23" s="46" t="str">
        <x:v>World Bank Pink Sheet</x:v>
      </x:c>
      <x:c r="L23" s="67" t="str">
        <x:v>https://www.worldbank.org/en/research/commodity-markets</x:v>
      </x:c>
      <x:c r="M23" s="46" t="str"/>
      <x:c r="N23" s="46" t="str">
        <x:v>No</x:v>
      </x:c>
      <x:c r="O23" s="46" t="str">
        <x:v>monthly</x:v>
      </x:c>
      <x:c r="P23" s="46" t="str">
        <x:v>Existing Soko Desk live-run observation; retain source type (futures/benchmark/physical).</x:v>
      </x:c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64" t="str">
        <x:v>Cross-country / benchmark</x:v>
      </x:c>
      <x:c r="B24" s="64" t="str">
        <x:v>Global</x:v>
      </x:c>
      <x:c r="C24" s="64" t="str">
        <x:v>World Bank CMO</x:v>
      </x:c>
      <x:c r="D24" s="64" t="str">
        <x:v>Plantain / Banana</x:v>
      </x:c>
      <x:c r="E24" s="64" t="str">
        <x:v>Banana, US</x:v>
      </x:c>
      <x:c r="F24" s="70" t="n">
        <x:v>1.1</x:v>
      </x:c>
      <x:c r="G24" s="64" t="str">
        <x:v>USD</x:v>
      </x:c>
      <x:c r="H24" s="64" t="str">
        <x:v>$/kg</x:v>
      </x:c>
      <x:c r="I24" s="64" t="str">
        <x:v>benchmark</x:v>
      </x:c>
      <x:c r="J24" s="64" t="str">
        <x:v>2026-08-01</x:v>
      </x:c>
      <x:c r="K24" s="64" t="str">
        <x:v>World Bank Pink Sheet</x:v>
      </x:c>
      <x:c r="L24" s="66" t="str">
        <x:v>https://www.worldbank.org/en/research/commodity-markets</x:v>
      </x:c>
      <x:c r="M24" s="64" t="str"/>
      <x:c r="N24" s="64" t="str">
        <x:v>No</x:v>
      </x:c>
      <x:c r="O24" s="64" t="str">
        <x:v>monthly</x:v>
      </x:c>
      <x:c r="P24" s="64" t="str">
        <x:v>Existing Soko Desk live-run observation; retain source type (futures/benchmark/physical).</x:v>
      </x:c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6" t="str">
        <x:v>Cross-country / benchmark</x:v>
      </x:c>
      <x:c r="B25" s="46" t="str">
        <x:v>Global</x:v>
      </x:c>
      <x:c r="C25" s="46" t="str">
        <x:v>World Bank CMO</x:v>
      </x:c>
      <x:c r="D25" s="46" t="str">
        <x:v>Sugar</x:v>
      </x:c>
      <x:c r="E25" s="46" t="str">
        <x:v>Sugar, world</x:v>
      </x:c>
      <x:c r="F25" s="71" t="n">
        <x:v>0.38</x:v>
      </x:c>
      <x:c r="G25" s="46" t="str">
        <x:v>USD</x:v>
      </x:c>
      <x:c r="H25" s="46" t="str">
        <x:v>$/kg</x:v>
      </x:c>
      <x:c r="I25" s="46" t="str">
        <x:v>benchmark</x:v>
      </x:c>
      <x:c r="J25" s="46" t="str">
        <x:v>2026-08-01</x:v>
      </x:c>
      <x:c r="K25" s="46" t="str">
        <x:v>World Bank Pink Sheet</x:v>
      </x:c>
      <x:c r="L25" s="67" t="str">
        <x:v>https://www.worldbank.org/en/research/commodity-markets</x:v>
      </x:c>
      <x:c r="M25" s="46" t="str"/>
      <x:c r="N25" s="46" t="str">
        <x:v>No</x:v>
      </x:c>
      <x:c r="O25" s="46" t="str">
        <x:v>monthly</x:v>
      </x:c>
      <x:c r="P25" s="46" t="str">
        <x:v>Existing Soko Desk live-run observation; retain source type (futures/benchmark/physical).</x:v>
      </x:c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64" t="str">
        <x:v>Cross-country / benchmark</x:v>
      </x:c>
      <x:c r="B26" s="64" t="str">
        <x:v>Global</x:v>
      </x:c>
      <x:c r="C26" s="64" t="str">
        <x:v>World Bank CMO</x:v>
      </x:c>
      <x:c r="D26" s="64" t="str">
        <x:v>Cotton</x:v>
      </x:c>
      <x:c r="E26" s="64" t="str">
        <x:v>Cotton, A Index</x:v>
      </x:c>
      <x:c r="F26" s="70" t="n">
        <x:v>2.11</x:v>
      </x:c>
      <x:c r="G26" s="64" t="str">
        <x:v>USD</x:v>
      </x:c>
      <x:c r="H26" s="64" t="str">
        <x:v>$/kg</x:v>
      </x:c>
      <x:c r="I26" s="64" t="str">
        <x:v>benchmark</x:v>
      </x:c>
      <x:c r="J26" s="64" t="str">
        <x:v>2026-08-01</x:v>
      </x:c>
      <x:c r="K26" s="64" t="str">
        <x:v>World Bank Pink Sheet</x:v>
      </x:c>
      <x:c r="L26" s="66" t="str">
        <x:v>https://www.worldbank.org/en/research/commodity-markets</x:v>
      </x:c>
      <x:c r="M26" s="64" t="str"/>
      <x:c r="N26" s="64" t="str">
        <x:v>No</x:v>
      </x:c>
      <x:c r="O26" s="64" t="str">
        <x:v>monthly</x:v>
      </x:c>
      <x:c r="P26" s="64" t="str">
        <x:v>Existing Soko Desk live-run observation; retain source type (futures/benchmark/physical).</x:v>
      </x:c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6" t="str">
        <x:v>Nigeria farmers</x:v>
      </x:c>
      <x:c r="B27" s="46" t="str">
        <x:v>Nigeria</x:v>
      </x:c>
      <x:c r="C27" s="46" t="str">
        <x:v>1 markets (median)</x:v>
      </x:c>
      <x:c r="D27" s="46" t="str">
        <x:v>Yam</x:v>
      </x:c>
      <x:c r="E27" s="46" t="str">
        <x:v>Yam</x:v>
      </x:c>
      <x:c r="F27" s="71" t="n">
        <x:v>3000</x:v>
      </x:c>
      <x:c r="G27" s="46" t="str">
        <x:v>NGN</x:v>
      </x:c>
      <x:c r="H27" s="46" t="str">
        <x:v>2.5 KG</x:v>
      </x:c>
      <x:c r="I27" s="46" t="str">
        <x:v>physical</x:v>
      </x:c>
      <x:c r="J27" s="46" t="str">
        <x:v>2026-07-15</x:v>
      </x:c>
      <x:c r="K27" s="46" t="str">
        <x:v>WFP / HDX Nigeria</x:v>
      </x:c>
      <x:c r="L27" s="67" t="str">
        <x:v>https://data.humdata.org/dataset/wfp-food-prices-for-nigeria</x:v>
      </x:c>
      <x:c r="M27" s="46" t="str">
        <x:v>Local published price: 3000 NGN; USD converted field: 2.18</x:v>
      </x:c>
      <x:c r="N27" s="46" t="str">
        <x:v>No</x:v>
      </x:c>
      <x:c r="O27" s="46" t="str">
        <x:v>monthly</x:v>
      </x:c>
      <x:c r="P27" s="46" t="str">
        <x:v>Existing Soko Desk live-run observation; retain source type (futures/benchmark/physical).</x:v>
      </x:c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64" t="str">
        <x:v>Nigeria farmers</x:v>
      </x:c>
      <x:c r="B28" s="64" t="str">
        <x:v>Nigeria</x:v>
      </x:c>
      <x:c r="C28" s="64" t="str">
        <x:v>14 markets (median)</x:v>
      </x:c>
      <x:c r="D28" s="64" t="str">
        <x:v>Cassava</x:v>
      </x:c>
      <x:c r="E28" s="64" t="str">
        <x:v>Cassava meal (gari, yellow)</x:v>
      </x:c>
      <x:c r="F28" s="70" t="n">
        <x:v>13750</x:v>
      </x:c>
      <x:c r="G28" s="64" t="str">
        <x:v>NGN</x:v>
      </x:c>
      <x:c r="H28" s="64" t="str">
        <x:v>100 KG</x:v>
      </x:c>
      <x:c r="I28" s="64" t="str">
        <x:v>physical</x:v>
      </x:c>
      <x:c r="J28" s="64" t="str">
        <x:v>2023-01-15</x:v>
      </x:c>
      <x:c r="K28" s="64" t="str">
        <x:v>WFP / HDX Nigeria</x:v>
      </x:c>
      <x:c r="L28" s="66" t="str">
        <x:v>https://data.humdata.org/dataset/wfp-food-prices-for-nigeria</x:v>
      </x:c>
      <x:c r="M28" s="64" t="str">
        <x:v>Local published price: 13750 NGN; USD converted field: 30.41</x:v>
      </x:c>
      <x:c r="N28" s="64" t="str">
        <x:v>No</x:v>
      </x:c>
      <x:c r="O28" s="64" t="str">
        <x:v>stale</x:v>
      </x:c>
      <x:c r="P28" s="64" t="str">
        <x:v>Existing Soko Desk live-run observation; retain source type (futures/benchmark/physical).</x:v>
      </x:c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6" t="str">
        <x:v>Nigeria farmers</x:v>
      </x:c>
      <x:c r="B29" s="46" t="str">
        <x:v>Nigeria</x:v>
      </x:c>
      <x:c r="C29" s="46" t="str">
        <x:v>16 markets (median)</x:v>
      </x:c>
      <x:c r="D29" s="46" t="str">
        <x:v>Garri (cassava)</x:v>
      </x:c>
      <x:c r="E29" s="46" t="str">
        <x:v>Cassava meal (gari, yellow), Gari (white)</x:v>
      </x:c>
      <x:c r="F29" s="71" t="n">
        <x:v>12500</x:v>
      </x:c>
      <x:c r="G29" s="46" t="str">
        <x:v>NGN</x:v>
      </x:c>
      <x:c r="H29" s="46" t="str">
        <x:v>100 KG</x:v>
      </x:c>
      <x:c r="I29" s="46" t="str">
        <x:v>physical</x:v>
      </x:c>
      <x:c r="J29" s="46" t="str">
        <x:v>2023-01-15</x:v>
      </x:c>
      <x:c r="K29" s="46" t="str">
        <x:v>WFP / HDX Nigeria</x:v>
      </x:c>
      <x:c r="L29" s="67" t="str">
        <x:v>https://data.humdata.org/dataset/wfp-food-prices-for-nigeria</x:v>
      </x:c>
      <x:c r="M29" s="46" t="str">
        <x:v>Local published price: 12500 NGN; USD converted field: 27.65</x:v>
      </x:c>
      <x:c r="N29" s="46" t="str">
        <x:v>No</x:v>
      </x:c>
      <x:c r="O29" s="46" t="str">
        <x:v>stale</x:v>
      </x:c>
      <x:c r="P29" s="46" t="str">
        <x:v>Existing Soko Desk live-run observation; retain source type (futures/benchmark/physical).</x:v>
      </x:c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64" t="str">
        <x:v>Nigeria farmers</x:v>
      </x:c>
      <x:c r="B30" s="64" t="str">
        <x:v>Nigeria</x:v>
      </x:c>
      <x:c r="C30" s="64" t="str">
        <x:v>2 markets (median)</x:v>
      </x:c>
      <x:c r="D30" s="64" t="str">
        <x:v>Plantain / Banana</x:v>
      </x:c>
      <x:c r="E30" s="64" t="str">
        <x:v>Bananas</x:v>
      </x:c>
      <x:c r="F30" s="70" t="n">
        <x:v>1000</x:v>
      </x:c>
      <x:c r="G30" s="64" t="str">
        <x:v>NGN</x:v>
      </x:c>
      <x:c r="H30" s="64" t="str">
        <x:v>1.3 KG</x:v>
      </x:c>
      <x:c r="I30" s="64" t="str">
        <x:v>physical</x:v>
      </x:c>
      <x:c r="J30" s="64" t="str">
        <x:v>2026-07-15</x:v>
      </x:c>
      <x:c r="K30" s="64" t="str">
        <x:v>WFP / HDX Nigeria</x:v>
      </x:c>
      <x:c r="L30" s="66" t="str">
        <x:v>https://data.humdata.org/dataset/wfp-food-prices-for-nigeria</x:v>
      </x:c>
      <x:c r="M30" s="64" t="str">
        <x:v>Local published price: 1000 NGN; USD converted field: 0.73</x:v>
      </x:c>
      <x:c r="N30" s="64" t="str">
        <x:v>No</x:v>
      </x:c>
      <x:c r="O30" s="64" t="str">
        <x:v>monthly</x:v>
      </x:c>
      <x:c r="P30" s="64" t="str">
        <x:v>Existing Soko Desk live-run observation; retain source type (futures/benchmark/physical).</x:v>
      </x:c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6" t="str">
        <x:v>Nigeria farmers</x:v>
      </x:c>
      <x:c r="B31" s="46" t="str">
        <x:v>Nigeria</x:v>
      </x:c>
      <x:c r="C31" s="46" t="str">
        <x:v>1 markets (median)</x:v>
      </x:c>
      <x:c r="D31" s="46" t="str">
        <x:v>Cowpea / Beans</x:v>
      </x:c>
      <x:c r="E31" s="46" t="str">
        <x:v>Beans (red), Beans (white), Cowpeas</x:v>
      </x:c>
      <x:c r="F31" s="71" t="n">
        <x:v>2500</x:v>
      </x:c>
      <x:c r="G31" s="46" t="str">
        <x:v>NGN</x:v>
      </x:c>
      <x:c r="H31" s="46" t="str">
        <x:v>2.5 KG</x:v>
      </x:c>
      <x:c r="I31" s="46" t="str">
        <x:v>physical</x:v>
      </x:c>
      <x:c r="J31" s="46" t="str">
        <x:v>2026-07-15</x:v>
      </x:c>
      <x:c r="K31" s="46" t="str">
        <x:v>WFP / HDX Nigeria</x:v>
      </x:c>
      <x:c r="L31" s="67" t="str">
        <x:v>https://data.humdata.org/dataset/wfp-food-prices-for-nigeria</x:v>
      </x:c>
      <x:c r="M31" s="46" t="str">
        <x:v>Local published price: 2500 NGN; USD converted field: 1.82</x:v>
      </x:c>
      <x:c r="N31" s="46" t="str">
        <x:v>No</x:v>
      </x:c>
      <x:c r="O31" s="46" t="str">
        <x:v>monthly</x:v>
      </x:c>
      <x:c r="P31" s="46" t="str">
        <x:v>Existing Soko Desk live-run observation; retain source type (futures/benchmark/physical).</x:v>
      </x:c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64" t="str">
        <x:v>Nigeria farmers</x:v>
      </x:c>
      <x:c r="B32" s="64" t="str">
        <x:v>Nigeria</x:v>
      </x:c>
      <x:c r="C32" s="64" t="str">
        <x:v>1 markets (median)</x:v>
      </x:c>
      <x:c r="D32" s="64" t="str">
        <x:v>Local / imported rice</x:v>
      </x:c>
      <x:c r="E32" s="64" t="str">
        <x:v>Rice (imported), Rice (local)</x:v>
      </x:c>
      <x:c r="F32" s="70" t="n">
        <x:v>3500</x:v>
      </x:c>
      <x:c r="G32" s="64" t="str">
        <x:v>NGN</x:v>
      </x:c>
      <x:c r="H32" s="64" t="str">
        <x:v>2.8 KG</x:v>
      </x:c>
      <x:c r="I32" s="64" t="str">
        <x:v>physical</x:v>
      </x:c>
      <x:c r="J32" s="64" t="str">
        <x:v>2026-07-15</x:v>
      </x:c>
      <x:c r="K32" s="64" t="str">
        <x:v>WFP / HDX Nigeria</x:v>
      </x:c>
      <x:c r="L32" s="66" t="str">
        <x:v>https://data.humdata.org/dataset/wfp-food-prices-for-nigeria</x:v>
      </x:c>
      <x:c r="M32" s="64" t="str">
        <x:v>Local published price: 3500 NGN; USD converted field: 2.54</x:v>
      </x:c>
      <x:c r="N32" s="64" t="str">
        <x:v>No</x:v>
      </x:c>
      <x:c r="O32" s="64" t="str">
        <x:v>monthly</x:v>
      </x:c>
      <x:c r="P32" s="64" t="str">
        <x:v>Existing Soko Desk live-run observation; retain source type (futures/benchmark/physical).</x:v>
      </x:c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6" t="str">
        <x:v>Nigeria farmers</x:v>
      </x:c>
      <x:c r="B33" s="46" t="str">
        <x:v>Nigeria</x:v>
      </x:c>
      <x:c r="C33" s="46" t="str">
        <x:v>1 markets (median)</x:v>
      </x:c>
      <x:c r="D33" s="46" t="str">
        <x:v>Maize / Corn</x:v>
      </x:c>
      <x:c r="E33" s="46" t="str">
        <x:v>Maize flour</x:v>
      </x:c>
      <x:c r="F33" s="71" t="n">
        <x:v>1500</x:v>
      </x:c>
      <x:c r="G33" s="46" t="str">
        <x:v>NGN</x:v>
      </x:c>
      <x:c r="H33" s="46" t="str">
        <x:v>2.1 KG</x:v>
      </x:c>
      <x:c r="I33" s="46" t="str">
        <x:v>physical</x:v>
      </x:c>
      <x:c r="J33" s="46" t="str">
        <x:v>2026-07-15</x:v>
      </x:c>
      <x:c r="K33" s="46" t="str">
        <x:v>WFP / HDX Nigeria</x:v>
      </x:c>
      <x:c r="L33" s="67" t="str">
        <x:v>https://data.humdata.org/dataset/wfp-food-prices-for-nigeria</x:v>
      </x:c>
      <x:c r="M33" s="46" t="str">
        <x:v>Local published price: 1500 NGN; USD converted field: 1.09</x:v>
      </x:c>
      <x:c r="N33" s="46" t="str">
        <x:v>No</x:v>
      </x:c>
      <x:c r="O33" s="46" t="str">
        <x:v>monthly</x:v>
      </x:c>
      <x:c r="P33" s="46" t="str">
        <x:v>Existing Soko Desk live-run observation; retain source type (futures/benchmark/physical).</x:v>
      </x:c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64" t="str">
        <x:v>Nigeria farmers</x:v>
      </x:c>
      <x:c r="B34" s="64" t="str">
        <x:v>Nigeria</x:v>
      </x:c>
      <x:c r="C34" s="64" t="str">
        <x:v>1 markets (median)</x:v>
      </x:c>
      <x:c r="D34" s="64" t="str">
        <x:v>Sorghum</x:v>
      </x:c>
      <x:c r="E34" s="64" t="str">
        <x:v>Sorghum</x:v>
      </x:c>
      <x:c r="F34" s="70" t="n">
        <x:v>1200</x:v>
      </x:c>
      <x:c r="G34" s="64" t="str">
        <x:v>NGN</x:v>
      </x:c>
      <x:c r="H34" s="64" t="str">
        <x:v>2.7 KG</x:v>
      </x:c>
      <x:c r="I34" s="64" t="str">
        <x:v>physical</x:v>
      </x:c>
      <x:c r="J34" s="64" t="str">
        <x:v>2026-07-15</x:v>
      </x:c>
      <x:c r="K34" s="64" t="str">
        <x:v>WFP / HDX Nigeria</x:v>
      </x:c>
      <x:c r="L34" s="66" t="str">
        <x:v>https://data.humdata.org/dataset/wfp-food-prices-for-nigeria</x:v>
      </x:c>
      <x:c r="M34" s="64" t="str">
        <x:v>Local published price: 1200 NGN; USD converted field: 0.87</x:v>
      </x:c>
      <x:c r="N34" s="64" t="str">
        <x:v>No</x:v>
      </x:c>
      <x:c r="O34" s="64" t="str">
        <x:v>monthly</x:v>
      </x:c>
      <x:c r="P34" s="64" t="str">
        <x:v>Existing Soko Desk live-run observation; retain source type (futures/benchmark/physical).</x:v>
      </x:c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6" t="str">
        <x:v>Nigeria farmers</x:v>
      </x:c>
      <x:c r="B35" s="46" t="str">
        <x:v>Nigeria</x:v>
      </x:c>
      <x:c r="C35" s="46" t="str">
        <x:v>1 markets (median)</x:v>
      </x:c>
      <x:c r="D35" s="46" t="str">
        <x:v>Sugar</x:v>
      </x:c>
      <x:c r="E35" s="46" t="str">
        <x:v>Sugar</x:v>
      </x:c>
      <x:c r="F35" s="71" t="n">
        <x:v>800</x:v>
      </x:c>
      <x:c r="G35" s="46" t="str">
        <x:v>NGN</x:v>
      </x:c>
      <x:c r="H35" s="46" t="str">
        <x:v>500 G</x:v>
      </x:c>
      <x:c r="I35" s="46" t="str">
        <x:v>physical</x:v>
      </x:c>
      <x:c r="J35" s="46" t="str">
        <x:v>2026-07-15</x:v>
      </x:c>
      <x:c r="K35" s="46" t="str">
        <x:v>WFP / HDX Nigeria</x:v>
      </x:c>
      <x:c r="L35" s="67" t="str">
        <x:v>https://data.humdata.org/dataset/wfp-food-prices-for-nigeria</x:v>
      </x:c>
      <x:c r="M35" s="46" t="str">
        <x:v>Local published price: 800 NGN; USD converted field: 0.58</x:v>
      </x:c>
      <x:c r="N35" s="46" t="str">
        <x:v>No</x:v>
      </x:c>
      <x:c r="O35" s="46" t="str">
        <x:v>monthly</x:v>
      </x:c>
      <x:c r="P35" s="46" t="str">
        <x:v>Existing Soko Desk live-run observation; retain source type (futures/benchmark/physical).</x:v>
      </x:c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64" t="str">
        <x:v>Nigeria farmers</x:v>
      </x:c>
      <x:c r="B36" s="64" t="str">
        <x:v>Nigeria</x:v>
      </x:c>
      <x:c r="C36" s="64" t="str">
        <x:v>1 markets (median)</x:v>
      </x:c>
      <x:c r="D36" s="64" t="str">
        <x:v>Wheat</x:v>
      </x:c>
      <x:c r="E36" s="64" t="str">
        <x:v>Wheat</x:v>
      </x:c>
      <x:c r="F36" s="70" t="n">
        <x:v>307.69</x:v>
      </x:c>
      <x:c r="G36" s="64" t="str">
        <x:v>NGN</x:v>
      </x:c>
      <x:c r="H36" s="64" t="str">
        <x:v>KG</x:v>
      </x:c>
      <x:c r="I36" s="64" t="str">
        <x:v>physical</x:v>
      </x:c>
      <x:c r="J36" s="64" t="str">
        <x:v>2006-03-15</x:v>
      </x:c>
      <x:c r="K36" s="64" t="str">
        <x:v>WFP / HDX Nigeria</x:v>
      </x:c>
      <x:c r="L36" s="66" t="str">
        <x:v>https://data.humdata.org/dataset/wfp-food-prices-for-nigeria</x:v>
      </x:c>
      <x:c r="M36" s="64" t="str">
        <x:v>Local published price: 307.69 NGN; USD converted field: 2.42</x:v>
      </x:c>
      <x:c r="N36" s="64" t="str">
        <x:v>No</x:v>
      </x:c>
      <x:c r="O36" s="64" t="str">
        <x:v>stale</x:v>
      </x:c>
      <x:c r="P36" s="64" t="str">
        <x:v>Existing Soko Desk live-run observation; retain source type (futures/benchmark/physical).</x:v>
      </x:c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6" t="str">
        <x:v>Nigeria farmers</x:v>
      </x:c>
      <x:c r="B37" s="46" t="str">
        <x:v>Nigeria</x:v>
      </x:c>
      <x:c r="C37" s="46" t="str">
        <x:v>1 markets (median)</x:v>
      </x:c>
      <x:c r="D37" s="46" t="str">
        <x:v>Palm oil</x:v>
      </x:c>
      <x:c r="E37" s="46" t="str">
        <x:v>Oil (palm)</x:v>
      </x:c>
      <x:c r="F37" s="71" t="n">
        <x:v>2500</x:v>
      </x:c>
      <x:c r="G37" s="46" t="str">
        <x:v>NGN</x:v>
      </x:c>
      <x:c r="H37" s="46" t="str">
        <x:v>L</x:v>
      </x:c>
      <x:c r="I37" s="46" t="str">
        <x:v>physical</x:v>
      </x:c>
      <x:c r="J37" s="46" t="str">
        <x:v>2026-07-15</x:v>
      </x:c>
      <x:c r="K37" s="46" t="str">
        <x:v>WFP / HDX Nigeria</x:v>
      </x:c>
      <x:c r="L37" s="67" t="str">
        <x:v>https://data.humdata.org/dataset/wfp-food-prices-for-nigeria</x:v>
      </x:c>
      <x:c r="M37" s="46" t="str">
        <x:v>Local published price: 2500 NGN; USD converted field: 1.82</x:v>
      </x:c>
      <x:c r="N37" s="46" t="str">
        <x:v>No</x:v>
      </x:c>
      <x:c r="O37" s="46" t="str">
        <x:v>monthly</x:v>
      </x:c>
      <x:c r="P37" s="46" t="str">
        <x:v>Existing Soko Desk live-run observation; retain source type (futures/benchmark/physical).</x:v>
      </x:c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64" t="str">
        <x:v>Nigeria farmers</x:v>
      </x:c>
      <x:c r="B38" s="64" t="str">
        <x:v>Nigeria</x:v>
      </x:c>
      <x:c r="C38" s="64" t="str">
        <x:v>1 markets (median)</x:v>
      </x:c>
      <x:c r="D38" s="64" t="str">
        <x:v>Groundnut</x:v>
      </x:c>
      <x:c r="E38" s="64" t="str">
        <x:v>Groundnuts</x:v>
      </x:c>
      <x:c r="F38" s="70" t="n">
        <x:v>3500</x:v>
      </x:c>
      <x:c r="G38" s="64" t="str">
        <x:v>NGN</x:v>
      </x:c>
      <x:c r="H38" s="64" t="str">
        <x:v>2.2 KG</x:v>
      </x:c>
      <x:c r="I38" s="64" t="str">
        <x:v>physical</x:v>
      </x:c>
      <x:c r="J38" s="64" t="str">
        <x:v>2026-07-15</x:v>
      </x:c>
      <x:c r="K38" s="64" t="str">
        <x:v>WFP / HDX Nigeria</x:v>
      </x:c>
      <x:c r="L38" s="66" t="str">
        <x:v>https://data.humdata.org/dataset/wfp-food-prices-for-nigeria</x:v>
      </x:c>
      <x:c r="M38" s="64" t="str">
        <x:v>Local published price: 3500 NGN; USD converted field: 2.54</x:v>
      </x:c>
      <x:c r="N38" s="64" t="str">
        <x:v>No</x:v>
      </x:c>
      <x:c r="O38" s="64" t="str">
        <x:v>monthly</x:v>
      </x:c>
      <x:c r="P38" s="64" t="str">
        <x:v>Existing Soko Desk live-run observation; retain source type (futures/benchmark/physical).</x:v>
      </x:c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6" t="str">
        <x:v>KZN vegetable farmers</x:v>
      </x:c>
      <x:c r="B39" s="46" t="str">
        <x:v>South Africa</x:v>
      </x:c>
      <x:c r="C39" s="46" t="str">
        <x:v>Durban / eThekwini, KwaZulu-Natal</x:v>
      </x:c>
      <x:c r="D39" s="46" t="str">
        <x:v>AMADUMBE</x:v>
      </x:c>
      <x:c r="E39" s="46" t="str"/>
      <x:c r="F39" s="71" t="n">
        <x:v>471.43</x:v>
      </x:c>
      <x:c r="G39" s="46" t="str">
        <x:v>R</x:v>
      </x:c>
      <x:c r="H39" s="46" t="str">
        <x:v>25 kg package</x:v>
      </x:c>
      <x:c r="I39" s="46" t="str">
        <x:v>market average</x:v>
      </x:c>
      <x:c r="J39" s="46" t="str">
        <x:v>2026-09-30</x:v>
      </x:c>
      <x:c r="K39" s="46" t="str">
        <x:v>eThekwini / Durban Fresh Produce Market</x:v>
      </x:c>
      <x:c r="L39" s="67" t="str">
        <x:v>https://durbanmarkets.durban.gov.za/</x:v>
      </x:c>
      <x:c r="M39" s="46" t="str">
        <x:v>Official table: low/high/average price; package weight shown.</x:v>
      </x:c>
      <x:c r="N39" s="46" t="str">
        <x:v>No</x:v>
      </x:c>
      <x:c r="O39" s="46" t="str">
        <x:v>Current page (30/Sep/2026)</x:v>
      </x:c>
      <x:c r="P39" s="46" t="str">
        <x:v>Official market average; package-based, so do not convert to R/kg unless weight/lot conventions are validated.</x:v>
      </x:c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64" t="str">
        <x:v>KZN vegetable farmers</x:v>
      </x:c>
      <x:c r="B40" s="64" t="str">
        <x:v>South Africa</x:v>
      </x:c>
      <x:c r="C40" s="64" t="str">
        <x:v>Durban / eThekwini, KwaZulu-Natal</x:v>
      </x:c>
      <x:c r="D40" s="64" t="str">
        <x:v>CABBAGE</x:v>
      </x:c>
      <x:c r="E40" s="64" t="str"/>
      <x:c r="F40" s="70" t="n">
        <x:v>32.5</x:v>
      </x:c>
      <x:c r="G40" s="64" t="str">
        <x:v>R</x:v>
      </x:c>
      <x:c r="H40" s="64" t="str">
        <x:v>20 kg package</x:v>
      </x:c>
      <x:c r="I40" s="64" t="str">
        <x:v>market average</x:v>
      </x:c>
      <x:c r="J40" s="64" t="str">
        <x:v>2026-09-30</x:v>
      </x:c>
      <x:c r="K40" s="64" t="str">
        <x:v>eThekwini / Durban Fresh Produce Market</x:v>
      </x:c>
      <x:c r="L40" s="66" t="str">
        <x:v>https://durbanmarkets.durban.gov.za/</x:v>
      </x:c>
      <x:c r="M40" s="64" t="str">
        <x:v>Official table: low/high/average price; package weight shown.</x:v>
      </x:c>
      <x:c r="N40" s="64" t="str">
        <x:v>No</x:v>
      </x:c>
      <x:c r="O40" s="64" t="str">
        <x:v>Current page (30/Sep/2026)</x:v>
      </x:c>
      <x:c r="P40" s="64" t="str">
        <x:v>Official market average; package-based, so do not convert to R/kg unless weight/lot conventions are validated.</x:v>
      </x:c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6" t="str">
        <x:v>KZN vegetable farmers</x:v>
      </x:c>
      <x:c r="B41" s="46" t="str">
        <x:v>South Africa</x:v>
      </x:c>
      <x:c r="C41" s="46" t="str">
        <x:v>Durban / eThekwini, KwaZulu-Natal</x:v>
      </x:c>
      <x:c r="D41" s="46" t="str">
        <x:v>CABBAGE</x:v>
      </x:c>
      <x:c r="E41" s="46" t="str"/>
      <x:c r="F41" s="71" t="n">
        <x:v>30.75</x:v>
      </x:c>
      <x:c r="G41" s="46" t="str">
        <x:v>R</x:v>
      </x:c>
      <x:c r="H41" s="46" t="str">
        <x:v>10 kg package</x:v>
      </x:c>
      <x:c r="I41" s="46" t="str">
        <x:v>market average</x:v>
      </x:c>
      <x:c r="J41" s="46" t="str">
        <x:v>2026-09-30</x:v>
      </x:c>
      <x:c r="K41" s="46" t="str">
        <x:v>eThekwini / Durban Fresh Produce Market</x:v>
      </x:c>
      <x:c r="L41" s="67" t="str">
        <x:v>https://durbanmarkets.durban.gov.za/</x:v>
      </x:c>
      <x:c r="M41" s="46" t="str">
        <x:v>Official table: low/high/average price; package weight shown.</x:v>
      </x:c>
      <x:c r="N41" s="46" t="str">
        <x:v>No</x:v>
      </x:c>
      <x:c r="O41" s="46" t="str">
        <x:v>Current page (30/Sep/2026)</x:v>
      </x:c>
      <x:c r="P41" s="46" t="str">
        <x:v>Official market average; package-based, so do not convert to R/kg unless weight/lot conventions are validated.</x:v>
      </x:c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64" t="str">
        <x:v>KZN vegetable farmers</x:v>
      </x:c>
      <x:c r="B42" s="64" t="str">
        <x:v>South Africa</x:v>
      </x:c>
      <x:c r="C42" s="64" t="str">
        <x:v>Durban / eThekwini, KwaZulu-Natal</x:v>
      </x:c>
      <x:c r="D42" s="64" t="str">
        <x:v>CUCUMBERS ENGLISH</x:v>
      </x:c>
      <x:c r="E42" s="64" t="str"/>
      <x:c r="F42" s="70" t="n">
        <x:v>24.29</x:v>
      </x:c>
      <x:c r="G42" s="64" t="str">
        <x:v>R</x:v>
      </x:c>
      <x:c r="H42" s="64" t="str">
        <x:v>5 kg package</x:v>
      </x:c>
      <x:c r="I42" s="64" t="str">
        <x:v>market average</x:v>
      </x:c>
      <x:c r="J42" s="64" t="str">
        <x:v>2026-09-30</x:v>
      </x:c>
      <x:c r="K42" s="64" t="str">
        <x:v>eThekwini / Durban Fresh Produce Market</x:v>
      </x:c>
      <x:c r="L42" s="66" t="str">
        <x:v>https://durbanmarkets.durban.gov.za/</x:v>
      </x:c>
      <x:c r="M42" s="64" t="str">
        <x:v>Official table: low/high/average price; package weight shown.</x:v>
      </x:c>
      <x:c r="N42" s="64" t="str">
        <x:v>No</x:v>
      </x:c>
      <x:c r="O42" s="64" t="str">
        <x:v>Current page (30/Sep/2026)</x:v>
      </x:c>
      <x:c r="P42" s="64" t="str">
        <x:v>Official market average; package-based, so do not convert to R/kg unless weight/lot conventions are validated.</x:v>
      </x:c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6" t="str">
        <x:v>KZN vegetable farmers</x:v>
      </x:c>
      <x:c r="B43" s="46" t="str">
        <x:v>South Africa</x:v>
      </x:c>
      <x:c r="C43" s="46" t="str">
        <x:v>Durban / eThekwini, KwaZulu-Natal</x:v>
      </x:c>
      <x:c r="D43" s="46" t="str">
        <x:v>GARLIC LOCAL</x:v>
      </x:c>
      <x:c r="E43" s="46" t="str"/>
      <x:c r="F43" s="71" t="n">
        <x:v>197.59</x:v>
      </x:c>
      <x:c r="G43" s="46" t="str">
        <x:v>R</x:v>
      </x:c>
      <x:c r="H43" s="46" t="str">
        <x:v>10 kg package</x:v>
      </x:c>
      <x:c r="I43" s="46" t="str">
        <x:v>market average</x:v>
      </x:c>
      <x:c r="J43" s="46" t="str">
        <x:v>2026-09-30</x:v>
      </x:c>
      <x:c r="K43" s="46" t="str">
        <x:v>eThekwini / Durban Fresh Produce Market</x:v>
      </x:c>
      <x:c r="L43" s="67" t="str">
        <x:v>https://durbanmarkets.durban.gov.za/</x:v>
      </x:c>
      <x:c r="M43" s="46" t="str">
        <x:v>Official table: low/high/average price; package weight shown.</x:v>
      </x:c>
      <x:c r="N43" s="46" t="str">
        <x:v>No</x:v>
      </x:c>
      <x:c r="O43" s="46" t="str">
        <x:v>Current page (30/Sep/2026)</x:v>
      </x:c>
      <x:c r="P43" s="46" t="str">
        <x:v>Official market average; package-based, so do not convert to R/kg unless weight/lot conventions are validated.</x:v>
      </x:c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64" t="str">
        <x:v>KZN vegetable farmers</x:v>
      </x:c>
      <x:c r="B44" s="64" t="str">
        <x:v>South Africa</x:v>
      </x:c>
      <x:c r="C44" s="64" t="str">
        <x:v>Durban / eThekwini, KwaZulu-Natal</x:v>
      </x:c>
      <x:c r="D44" s="64" t="str">
        <x:v>PEPPERS GREEN</x:v>
      </x:c>
      <x:c r="E44" s="64" t="str"/>
      <x:c r="F44" s="70" t="n">
        <x:v>130.06</x:v>
      </x:c>
      <x:c r="G44" s="64" t="str">
        <x:v>R</x:v>
      </x:c>
      <x:c r="H44" s="64" t="str">
        <x:v>4 kg package</x:v>
      </x:c>
      <x:c r="I44" s="64" t="str">
        <x:v>market average</x:v>
      </x:c>
      <x:c r="J44" s="64" t="str">
        <x:v>2026-09-30</x:v>
      </x:c>
      <x:c r="K44" s="64" t="str">
        <x:v>eThekwini / Durban Fresh Produce Market</x:v>
      </x:c>
      <x:c r="L44" s="66" t="str">
        <x:v>https://durbanmarkets.durban.gov.za/</x:v>
      </x:c>
      <x:c r="M44" s="64" t="str">
        <x:v>Official table: low/high/average price; package weight shown.</x:v>
      </x:c>
      <x:c r="N44" s="64" t="str">
        <x:v>No</x:v>
      </x:c>
      <x:c r="O44" s="64" t="str">
        <x:v>Current page (30/Sep/2026)</x:v>
      </x:c>
      <x:c r="P44" s="64" t="str">
        <x:v>Official market average; package-based, so do not convert to R/kg unless weight/lot conventions are validated.</x:v>
      </x:c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6" t="str">
        <x:v>KZN vegetable farmers</x:v>
      </x:c>
      <x:c r="B45" s="46" t="str">
        <x:v>South Africa</x:v>
      </x:c>
      <x:c r="C45" s="46" t="str">
        <x:v>Durban / eThekwini, KwaZulu-Natal</x:v>
      </x:c>
      <x:c r="D45" s="46" t="str">
        <x:v>PEPPERS MIX</x:v>
      </x:c>
      <x:c r="E45" s="46" t="str"/>
      <x:c r="F45" s="71" t="n">
        <x:v>138.95</x:v>
      </x:c>
      <x:c r="G45" s="46" t="str">
        <x:v>R</x:v>
      </x:c>
      <x:c r="H45" s="46" t="str">
        <x:v>4 kg package</x:v>
      </x:c>
      <x:c r="I45" s="46" t="str">
        <x:v>market average</x:v>
      </x:c>
      <x:c r="J45" s="46" t="str">
        <x:v>2026-09-30</x:v>
      </x:c>
      <x:c r="K45" s="46" t="str">
        <x:v>eThekwini / Durban Fresh Produce Market</x:v>
      </x:c>
      <x:c r="L45" s="67" t="str">
        <x:v>https://durbanmarkets.durban.gov.za/</x:v>
      </x:c>
      <x:c r="M45" s="46" t="str">
        <x:v>Official table: low/high/average price; package weight shown.</x:v>
      </x:c>
      <x:c r="N45" s="46" t="str">
        <x:v>No</x:v>
      </x:c>
      <x:c r="O45" s="46" t="str">
        <x:v>Current page (30/Sep/2026)</x:v>
      </x:c>
      <x:c r="P45" s="46" t="str">
        <x:v>Official market average; package-based, so do not convert to R/kg unless weight/lot conventions are validated.</x:v>
      </x:c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64" t="str">
        <x:v>KZN vegetable farmers</x:v>
      </x:c>
      <x:c r="B46" s="64" t="str">
        <x:v>South Africa</x:v>
      </x:c>
      <x:c r="C46" s="64" t="str">
        <x:v>Durban / eThekwini, KwaZulu-Natal</x:v>
      </x:c>
      <x:c r="D46" s="64" t="str">
        <x:v>PEPPERS RED</x:v>
      </x:c>
      <x:c r="E46" s="64" t="str"/>
      <x:c r="F46" s="70" t="n">
        <x:v>113.33</x:v>
      </x:c>
      <x:c r="G46" s="64" t="str">
        <x:v>R</x:v>
      </x:c>
      <x:c r="H46" s="64" t="str">
        <x:v>8 kg package</x:v>
      </x:c>
      <x:c r="I46" s="64" t="str">
        <x:v>market average</x:v>
      </x:c>
      <x:c r="J46" s="64" t="str">
        <x:v>2026-09-30</x:v>
      </x:c>
      <x:c r="K46" s="64" t="str">
        <x:v>eThekwini / Durban Fresh Produce Market</x:v>
      </x:c>
      <x:c r="L46" s="66" t="str">
        <x:v>https://durbanmarkets.durban.gov.za/</x:v>
      </x:c>
      <x:c r="M46" s="64" t="str">
        <x:v>Official table: low/high/average price; package weight shown.</x:v>
      </x:c>
      <x:c r="N46" s="64" t="str">
        <x:v>No</x:v>
      </x:c>
      <x:c r="O46" s="64" t="str">
        <x:v>Current page (30/Sep/2026)</x:v>
      </x:c>
      <x:c r="P46" s="64" t="str">
        <x:v>Official market average; package-based, so do not convert to R/kg unless weight/lot conventions are validated.</x:v>
      </x:c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6" t="str">
        <x:v>KZN vegetable farmers</x:v>
      </x:c>
      <x:c r="B47" s="46" t="str">
        <x:v>South Africa</x:v>
      </x:c>
      <x:c r="C47" s="46" t="str">
        <x:v>Durban / eThekwini, KwaZulu-Natal</x:v>
      </x:c>
      <x:c r="D47" s="46" t="str">
        <x:v>SPINACH</x:v>
      </x:c>
      <x:c r="E47" s="46" t="str"/>
      <x:c r="F47" s="71" t="n">
        <x:v>45.18</x:v>
      </x:c>
      <x:c r="G47" s="46" t="str">
        <x:v>R</x:v>
      </x:c>
      <x:c r="H47" s="46" t="str">
        <x:v>5 kg package</x:v>
      </x:c>
      <x:c r="I47" s="46" t="str">
        <x:v>market average</x:v>
      </x:c>
      <x:c r="J47" s="46" t="str">
        <x:v>2026-09-30</x:v>
      </x:c>
      <x:c r="K47" s="46" t="str">
        <x:v>eThekwini / Durban Fresh Produce Market</x:v>
      </x:c>
      <x:c r="L47" s="67" t="str">
        <x:v>https://durbanmarkets.durban.gov.za/</x:v>
      </x:c>
      <x:c r="M47" s="46" t="str">
        <x:v>Official table: low/high/average price; package weight shown.</x:v>
      </x:c>
      <x:c r="N47" s="46" t="str">
        <x:v>No</x:v>
      </x:c>
      <x:c r="O47" s="46" t="str">
        <x:v>Current page (30/Sep/2026)</x:v>
      </x:c>
      <x:c r="P47" s="46" t="str">
        <x:v>Official market average; package-based, so do not convert to R/kg unless weight/lot conventions are validated.</x:v>
      </x:c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64" t="str">
        <x:v>KZN vegetable farmers</x:v>
      </x:c>
      <x:c r="B48" s="64" t="str">
        <x:v>South Africa</x:v>
      </x:c>
      <x:c r="C48" s="64" t="str">
        <x:v>Durban / eThekwini, KwaZulu-Natal</x:v>
      </x:c>
      <x:c r="D48" s="64" t="str">
        <x:v>STRAWBERRIES</x:v>
      </x:c>
      <x:c r="E48" s="64" t="str"/>
      <x:c r="F48" s="70" t="n">
        <x:v>242.86</x:v>
      </x:c>
      <x:c r="G48" s="64" t="str">
        <x:v>R</x:v>
      </x:c>
      <x:c r="H48" s="64" t="str">
        <x:v>4 kg package</x:v>
      </x:c>
      <x:c r="I48" s="64" t="str">
        <x:v>market average</x:v>
      </x:c>
      <x:c r="J48" s="64" t="str">
        <x:v>2026-09-30</x:v>
      </x:c>
      <x:c r="K48" s="64" t="str">
        <x:v>eThekwini / Durban Fresh Produce Market</x:v>
      </x:c>
      <x:c r="L48" s="66" t="str">
        <x:v>https://durbanmarkets.durban.gov.za/</x:v>
      </x:c>
      <x:c r="M48" s="64" t="str">
        <x:v>Official table: low/high/average price; package weight shown.</x:v>
      </x:c>
      <x:c r="N48" s="64" t="str">
        <x:v>No</x:v>
      </x:c>
      <x:c r="O48" s="64" t="str">
        <x:v>Current page (30/Sep/2026)</x:v>
      </x:c>
      <x:c r="P48" s="64" t="str">
        <x:v>Official market average; package-based, so do not convert to R/kg unless weight/lot conventions are validated.</x:v>
      </x:c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6" t="str">
        <x:v>KZN vegetable farmers</x:v>
      </x:c>
      <x:c r="B49" s="46" t="str">
        <x:v>South Africa</x:v>
      </x:c>
      <x:c r="C49" s="46" t="str">
        <x:v>Durban / eThekwini, KwaZulu-Natal</x:v>
      </x:c>
      <x:c r="D49" s="46" t="str">
        <x:v>SWEET MELONS</x:v>
      </x:c>
      <x:c r="E49" s="46" t="str"/>
      <x:c r="F49" s="71" t="n">
        <x:v>200</x:v>
      </x:c>
      <x:c r="G49" s="46" t="str">
        <x:v>R</x:v>
      </x:c>
      <x:c r="H49" s="46" t="str">
        <x:v>11 kg package</x:v>
      </x:c>
      <x:c r="I49" s="46" t="str">
        <x:v>market average</x:v>
      </x:c>
      <x:c r="J49" s="46" t="str">
        <x:v>2026-09-30</x:v>
      </x:c>
      <x:c r="K49" s="46" t="str">
        <x:v>eThekwini / Durban Fresh Produce Market</x:v>
      </x:c>
      <x:c r="L49" s="67" t="str">
        <x:v>https://durbanmarkets.durban.gov.za/</x:v>
      </x:c>
      <x:c r="M49" s="46" t="str">
        <x:v>Official table: low/high/average price; package weight shown.</x:v>
      </x:c>
      <x:c r="N49" s="46" t="str">
        <x:v>No</x:v>
      </x:c>
      <x:c r="O49" s="46" t="str">
        <x:v>Current page (30/Sep/2026)</x:v>
      </x:c>
      <x:c r="P49" s="46" t="str">
        <x:v>Official market average; package-based, so do not convert to R/kg unless weight/lot conventions are validated.</x:v>
      </x:c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64" t="str">
        <x:v>KZN vegetable farmers</x:v>
      </x:c>
      <x:c r="B50" s="64" t="str">
        <x:v>South Africa</x:v>
      </x:c>
      <x:c r="C50" s="64" t="str">
        <x:v>Durban / eThekwini, KwaZulu-Natal</x:v>
      </x:c>
      <x:c r="D50" s="64" t="str">
        <x:v>CABBAGE</x:v>
      </x:c>
      <x:c r="E50" s="64" t="str"/>
      <x:c r="F50" s="70" t="n">
        <x:v>30.93</x:v>
      </x:c>
      <x:c r="G50" s="64" t="str">
        <x:v>R</x:v>
      </x:c>
      <x:c r="H50" s="64" t="str">
        <x:v>25 kg package</x:v>
      </x:c>
      <x:c r="I50" s="64" t="str">
        <x:v>market average</x:v>
      </x:c>
      <x:c r="J50" s="64" t="str">
        <x:v>2026-09-30</x:v>
      </x:c>
      <x:c r="K50" s="64" t="str">
        <x:v>eThekwini / Durban Fresh Produce Market</x:v>
      </x:c>
      <x:c r="L50" s="66" t="str">
        <x:v>https://durbanmarkets.durban.gov.za/</x:v>
      </x:c>
      <x:c r="M50" s="64" t="str">
        <x:v>Official table: low/high/average price; package weight shown.</x:v>
      </x:c>
      <x:c r="N50" s="64" t="str">
        <x:v>No</x:v>
      </x:c>
      <x:c r="O50" s="64" t="str">
        <x:v>Current page (30/Sep/2026)</x:v>
      </x:c>
      <x:c r="P50" s="64" t="str">
        <x:v>Official market average; package-based, so do not convert to R/kg unless weight/lot conventions are validated.</x:v>
      </x:c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6" t="str">
        <x:v>KZN vegetable farmers</x:v>
      </x:c>
      <x:c r="B51" s="46" t="str">
        <x:v>South Africa</x:v>
      </x:c>
      <x:c r="C51" s="46" t="str">
        <x:v>Durban / eThekwini, KwaZulu-Natal</x:v>
      </x:c>
      <x:c r="D51" s="46" t="str">
        <x:v>BUTTERNUTS</x:v>
      </x:c>
      <x:c r="E51" s="46" t="str"/>
      <x:c r="F51" s="71" t="n">
        <x:v>77.48</x:v>
      </x:c>
      <x:c r="G51" s="46" t="str">
        <x:v>R</x:v>
      </x:c>
      <x:c r="H51" s="46" t="str">
        <x:v>6 kg package</x:v>
      </x:c>
      <x:c r="I51" s="46" t="str">
        <x:v>market average</x:v>
      </x:c>
      <x:c r="J51" s="46" t="str">
        <x:v>2026-09-30</x:v>
      </x:c>
      <x:c r="K51" s="46" t="str">
        <x:v>eThekwini / Durban Fresh Produce Market</x:v>
      </x:c>
      <x:c r="L51" s="67" t="str">
        <x:v>https://durbanmarkets.durban.gov.za/</x:v>
      </x:c>
      <x:c r="M51" s="46" t="str">
        <x:v>Official table: low/high/average price; package weight shown.</x:v>
      </x:c>
      <x:c r="N51" s="46" t="str">
        <x:v>No</x:v>
      </x:c>
      <x:c r="O51" s="46" t="str">
        <x:v>Current page (30/Sep/2026)</x:v>
      </x:c>
      <x:c r="P51" s="46" t="str">
        <x:v>Official market average; package-based, so do not convert to R/kg unless weight/lot conventions are validated.</x:v>
      </x:c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64" t="str">
        <x:v>KZN vegetable farmers</x:v>
      </x:c>
      <x:c r="B52" s="64" t="str">
        <x:v>South Africa</x:v>
      </x:c>
      <x:c r="C52" s="64" t="str">
        <x:v>Durban / eThekwini, KwaZulu-Natal</x:v>
      </x:c>
      <x:c r="D52" s="64" t="str">
        <x:v>DHANIA</x:v>
      </x:c>
      <x:c r="E52" s="64" t="str"/>
      <x:c r="F52" s="70" t="n">
        <x:v>250</x:v>
      </x:c>
      <x:c r="G52" s="64" t="str">
        <x:v>R</x:v>
      </x:c>
      <x:c r="H52" s="64" t="str">
        <x:v>3 kg package</x:v>
      </x:c>
      <x:c r="I52" s="64" t="str">
        <x:v>market average</x:v>
      </x:c>
      <x:c r="J52" s="64" t="str">
        <x:v>2026-09-30</x:v>
      </x:c>
      <x:c r="K52" s="64" t="str">
        <x:v>eThekwini / Durban Fresh Produce Market</x:v>
      </x:c>
      <x:c r="L52" s="66" t="str">
        <x:v>https://durbanmarkets.durban.gov.za/</x:v>
      </x:c>
      <x:c r="M52" s="64" t="str">
        <x:v>Official table: low/high/average price; package weight shown.</x:v>
      </x:c>
      <x:c r="N52" s="64" t="str">
        <x:v>No</x:v>
      </x:c>
      <x:c r="O52" s="64" t="str">
        <x:v>Current page (30/Sep/2026)</x:v>
      </x:c>
      <x:c r="P52" s="64" t="str">
        <x:v>Official market average; package-based, so do not convert to R/kg unless weight/lot conventions are validated.</x:v>
      </x:c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6" t="str">
        <x:v>Gauteng vegetable traders</x:v>
      </x:c>
      <x:c r="B53" s="46" t="str">
        <x:v>South Africa</x:v>
      </x:c>
      <x:c r="C53" s="46" t="str">
        <x:v>Johannesburg / Gauteng</x:v>
      </x:c>
      <x:c r="D53" s="46" t="str">
        <x:v>AVOCADOS</x:v>
      </x:c>
      <x:c r="E53" s="46" t="str"/>
      <x:c r="F53" s="71" t="n">
        <x:v>0.810727</x:v>
      </x:c>
      <x:c r="G53" s="46" t="str">
        <x:v>ZAR</x:v>
      </x:c>
      <x:c r="H53" s="46" t="str">
        <x:v>R/kg (derived)</x:v>
      </x:c>
      <x:c r="I53" s="46" t="str">
        <x:v>derived market average</x:v>
      </x:c>
      <x:c r="J53" s="46" t="str">
        <x:v>2026-08-29</x:v>
      </x:c>
      <x:c r="K53" s="46" t="str">
        <x:v>Joburg Market</x:v>
      </x:c>
      <x:c r="L53" s="67" t="str">
        <x:v>https://joburgmarket.co.za/jhb-market/dailyprices.php</x:v>
      </x:c>
      <x:c r="M53" s="46" t="str">
        <x:v>Total value sold R1,294,250.00; total kg sold 1,596,406</x:v>
      </x:c>
      <x:c r="N53" s="46" t="str">
        <x:v>Yes</x:v>
      </x:c>
      <x:c r="O53" s="46" t="str">
        <x:v>Current page content dated 29/Aug/2026</x:v>
      </x:c>
      <x:c r="P53" s="46" t="str">
        <x:v>Derived = total value sold ÷ total kg sold. Keep raw totals because packaging/grades can make derived R/kg non-comparable.</x:v>
      </x:c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64" t="str">
        <x:v>Gauteng vegetable traders</x:v>
      </x:c>
      <x:c r="B54" s="64" t="str">
        <x:v>South Africa</x:v>
      </x:c>
      <x:c r="C54" s="64" t="str">
        <x:v>Johannesburg / Gauteng</x:v>
      </x:c>
      <x:c r="D54" s="64" t="str">
        <x:v>BANANAS</x:v>
      </x:c>
      <x:c r="E54" s="64" t="str"/>
      <x:c r="F54" s="70" t="n">
        <x:v>1.93161</x:v>
      </x:c>
      <x:c r="G54" s="64" t="str">
        <x:v>ZAR</x:v>
      </x:c>
      <x:c r="H54" s="64" t="str">
        <x:v>R/kg (derived)</x:v>
      </x:c>
      <x:c r="I54" s="64" t="str">
        <x:v>derived market average</x:v>
      </x:c>
      <x:c r="J54" s="64" t="str">
        <x:v>2026-08-29</x:v>
      </x:c>
      <x:c r="K54" s="64" t="str">
        <x:v>Joburg Market</x:v>
      </x:c>
      <x:c r="L54" s="66" t="str">
        <x:v>https://joburgmarket.co.za/jhb-market/dailyprices.php</x:v>
      </x:c>
      <x:c r="M54" s="64" t="str">
        <x:v>Total value sold R2,750,610.00; total kg sold 1,423,999</x:v>
      </x:c>
      <x:c r="N54" s="64" t="str">
        <x:v>Yes</x:v>
      </x:c>
      <x:c r="O54" s="64" t="str">
        <x:v>Current page content dated 29/Aug/2026</x:v>
      </x:c>
      <x:c r="P54" s="64" t="str">
        <x:v>Derived = total value sold ÷ total kg sold. Keep raw totals because packaging/grades can make derived R/kg non-comparable.</x:v>
      </x:c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6" t="str">
        <x:v>Gauteng vegetable traders</x:v>
      </x:c>
      <x:c r="B55" s="46" t="str">
        <x:v>South Africa</x:v>
      </x:c>
      <x:c r="C55" s="46" t="str">
        <x:v>Johannesburg / Gauteng</x:v>
      </x:c>
      <x:c r="D55" s="46" t="str">
        <x:v>BEANS</x:v>
      </x:c>
      <x:c r="E55" s="46" t="str"/>
      <x:c r="F55" s="71" t="n">
        <x:v>2.743055</x:v>
      </x:c>
      <x:c r="G55" s="46" t="str">
        <x:v>ZAR</x:v>
      </x:c>
      <x:c r="H55" s="46" t="str">
        <x:v>R/kg (derived)</x:v>
      </x:c>
      <x:c r="I55" s="46" t="str">
        <x:v>derived market average</x:v>
      </x:c>
      <x:c r="J55" s="46" t="str">
        <x:v>2026-08-29</x:v>
      </x:c>
      <x:c r="K55" s="46" t="str">
        <x:v>Joburg Market</x:v>
      </x:c>
      <x:c r="L55" s="67" t="str">
        <x:v>https://joburgmarket.co.za/jhb-market/dailyprices.php</x:v>
      </x:c>
      <x:c r="M55" s="46" t="str">
        <x:v>Total value sold R231,160.00; total kg sold 84,271</x:v>
      </x:c>
      <x:c r="N55" s="46" t="str">
        <x:v>Yes</x:v>
      </x:c>
      <x:c r="O55" s="46" t="str">
        <x:v>Current page content dated 29/Aug/2026</x:v>
      </x:c>
      <x:c r="P55" s="46" t="str">
        <x:v>Derived = total value sold ÷ total kg sold. Keep raw totals because packaging/grades can make derived R/kg non-comparable.</x:v>
      </x:c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64" t="str">
        <x:v>Gauteng vegetable traders</x:v>
      </x:c>
      <x:c r="B56" s="64" t="str">
        <x:v>South Africa</x:v>
      </x:c>
      <x:c r="C56" s="64" t="str">
        <x:v>Johannesburg / Gauteng</x:v>
      </x:c>
      <x:c r="D56" s="64" t="str">
        <x:v>BROCCOLI</x:v>
      </x:c>
      <x:c r="E56" s="64" t="str"/>
      <x:c r="F56" s="70" t="n">
        <x:v>7.023899</x:v>
      </x:c>
      <x:c r="G56" s="64" t="str">
        <x:v>ZAR</x:v>
      </x:c>
      <x:c r="H56" s="64" t="str">
        <x:v>R/kg (derived)</x:v>
      </x:c>
      <x:c r="I56" s="64" t="str">
        <x:v>derived market average</x:v>
      </x:c>
      <x:c r="J56" s="64" t="str">
        <x:v>2026-08-29</x:v>
      </x:c>
      <x:c r="K56" s="64" t="str">
        <x:v>Joburg Market</x:v>
      </x:c>
      <x:c r="L56" s="66" t="str">
        <x:v>https://joburgmarket.co.za/jhb-market/dailyprices.php</x:v>
      </x:c>
      <x:c r="M56" s="64" t="str">
        <x:v>Total value sold R190,446.00; total kg sold 27,114</x:v>
      </x:c>
      <x:c r="N56" s="64" t="str">
        <x:v>Yes</x:v>
      </x:c>
      <x:c r="O56" s="64" t="str">
        <x:v>Current page content dated 29/Aug/2026</x:v>
      </x:c>
      <x:c r="P56" s="64" t="str">
        <x:v>Derived = total value sold ÷ total kg sold. Keep raw totals because packaging/grades can make derived R/kg non-comparable.</x:v>
      </x:c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6" t="str">
        <x:v>Gauteng vegetable traders</x:v>
      </x:c>
      <x:c r="B57" s="46" t="str">
        <x:v>South Africa</x:v>
      </x:c>
      <x:c r="C57" s="46" t="str">
        <x:v>Johannesburg / Gauteng</x:v>
      </x:c>
      <x:c r="D57" s="46" t="str">
        <x:v>CABBAGE</x:v>
      </x:c>
      <x:c r="E57" s="46" t="str"/>
      <x:c r="F57" s="71" t="n">
        <x:v>0.485846</x:v>
      </x:c>
      <x:c r="G57" s="46" t="str">
        <x:v>ZAR</x:v>
      </x:c>
      <x:c r="H57" s="46" t="str">
        <x:v>R/kg (derived)</x:v>
      </x:c>
      <x:c r="I57" s="46" t="str">
        <x:v>derived market average</x:v>
      </x:c>
      <x:c r="J57" s="46" t="str">
        <x:v>2026-08-29</x:v>
      </x:c>
      <x:c r="K57" s="46" t="str">
        <x:v>Joburg Market</x:v>
      </x:c>
      <x:c r="L57" s="67" t="str">
        <x:v>https://joburgmarket.co.za/jhb-market/dailyprices.php</x:v>
      </x:c>
      <x:c r="M57" s="46" t="str">
        <x:v>Total value sold R694,491.00; total kg sold 1,429,446</x:v>
      </x:c>
      <x:c r="N57" s="46" t="str">
        <x:v>Yes</x:v>
      </x:c>
      <x:c r="O57" s="46" t="str">
        <x:v>Current page content dated 29/Aug/2026</x:v>
      </x:c>
      <x:c r="P57" s="46" t="str">
        <x:v>Derived = total value sold ÷ total kg sold. Keep raw totals because packaging/grades can make derived R/kg non-comparable.</x:v>
      </x:c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64" t="str">
        <x:v>Gauteng vegetable traders</x:v>
      </x:c>
      <x:c r="B58" s="64" t="str">
        <x:v>South Africa</x:v>
      </x:c>
      <x:c r="C58" s="64" t="str">
        <x:v>Johannesburg / Gauteng</x:v>
      </x:c>
      <x:c r="D58" s="64" t="str">
        <x:v>CARROTS</x:v>
      </x:c>
      <x:c r="E58" s="64" t="str"/>
      <x:c r="F58" s="70" t="n">
        <x:v>1.000412</x:v>
      </x:c>
      <x:c r="G58" s="64" t="str">
        <x:v>ZAR</x:v>
      </x:c>
      <x:c r="H58" s="64" t="str">
        <x:v>R/kg (derived)</x:v>
      </x:c>
      <x:c r="I58" s="64" t="str">
        <x:v>derived market average</x:v>
      </x:c>
      <x:c r="J58" s="64" t="str">
        <x:v>2026-08-29</x:v>
      </x:c>
      <x:c r="K58" s="64" t="str">
        <x:v>Joburg Market</x:v>
      </x:c>
      <x:c r="L58" s="66" t="str">
        <x:v>https://joburgmarket.co.za/jhb-market/dailyprices.php</x:v>
      </x:c>
      <x:c r="M58" s="64" t="str">
        <x:v>Total value sold R1,137,701.00; total kg sold 1,137,232</x:v>
      </x:c>
      <x:c r="N58" s="64" t="str">
        <x:v>Yes</x:v>
      </x:c>
      <x:c r="O58" s="64" t="str">
        <x:v>Current page content dated 29/Aug/2026</x:v>
      </x:c>
      <x:c r="P58" s="64" t="str">
        <x:v>Derived = total value sold ÷ total kg sold. Keep raw totals because packaging/grades can make derived R/kg non-comparable.</x:v>
      </x:c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6" t="str">
        <x:v>Gauteng vegetable traders</x:v>
      </x:c>
      <x:c r="B59" s="46" t="str">
        <x:v>South Africa</x:v>
      </x:c>
      <x:c r="C59" s="46" t="str">
        <x:v>Johannesburg / Gauteng</x:v>
      </x:c>
      <x:c r="D59" s="46" t="str">
        <x:v>CASSAVA</x:v>
      </x:c>
      <x:c r="E59" s="46" t="str"/>
      <x:c r="F59" s="71" t="n">
        <x:v>3.333333</x:v>
      </x:c>
      <x:c r="G59" s="46" t="str">
        <x:v>ZAR</x:v>
      </x:c>
      <x:c r="H59" s="46" t="str">
        <x:v>R/kg (derived)</x:v>
      </x:c>
      <x:c r="I59" s="46" t="str">
        <x:v>derived market average</x:v>
      </x:c>
      <x:c r="J59" s="46" t="str">
        <x:v>2026-08-29</x:v>
      </x:c>
      <x:c r="K59" s="46" t="str">
        <x:v>Joburg Market</x:v>
      </x:c>
      <x:c r="L59" s="67" t="str">
        <x:v>https://joburgmarket.co.za/jhb-market/dailyprices.php</x:v>
      </x:c>
      <x:c r="M59" s="46" t="str">
        <x:v>Total value sold R160.00; total kg sold 48</x:v>
      </x:c>
      <x:c r="N59" s="46" t="str">
        <x:v>Yes</x:v>
      </x:c>
      <x:c r="O59" s="46" t="str">
        <x:v>Current page content dated 29/Aug/2026</x:v>
      </x:c>
      <x:c r="P59" s="46" t="str">
        <x:v>Derived = total value sold ÷ total kg sold. Keep raw totals because packaging/grades can make derived R/kg non-comparable.</x:v>
      </x:c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64" t="str">
        <x:v>Gauteng vegetable traders</x:v>
      </x:c>
      <x:c r="B60" s="64" t="str">
        <x:v>South Africa</x:v>
      </x:c>
      <x:c r="C60" s="64" t="str">
        <x:v>Johannesburg / Gauteng</x:v>
      </x:c>
      <x:c r="D60" s="64" t="str">
        <x:v>CAULIFLOWER</x:v>
      </x:c>
      <x:c r="E60" s="64" t="str"/>
      <x:c r="F60" s="70" t="n">
        <x:v>4.613991</x:v>
      </x:c>
      <x:c r="G60" s="64" t="str">
        <x:v>ZAR</x:v>
      </x:c>
      <x:c r="H60" s="64" t="str">
        <x:v>R/kg (derived)</x:v>
      </x:c>
      <x:c r="I60" s="64" t="str">
        <x:v>derived market average</x:v>
      </x:c>
      <x:c r="J60" s="64" t="str">
        <x:v>2026-08-29</x:v>
      </x:c>
      <x:c r="K60" s="64" t="str">
        <x:v>Joburg Market</x:v>
      </x:c>
      <x:c r="L60" s="66" t="str">
        <x:v>https://joburgmarket.co.za/jhb-market/dailyprices.php</x:v>
      </x:c>
      <x:c r="M60" s="64" t="str">
        <x:v>Total value sold R79,213.00; total kg sold 17,168</x:v>
      </x:c>
      <x:c r="N60" s="64" t="str">
        <x:v>Yes</x:v>
      </x:c>
      <x:c r="O60" s="64" t="str">
        <x:v>Current page content dated 29/Aug/2026</x:v>
      </x:c>
      <x:c r="P60" s="64" t="str">
        <x:v>Derived = total value sold ÷ total kg sold. Keep raw totals because packaging/grades can make derived R/kg non-comparable.</x:v>
      </x:c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6" t="str">
        <x:v>Gauteng vegetable traders</x:v>
      </x:c>
      <x:c r="B61" s="46" t="str">
        <x:v>South Africa</x:v>
      </x:c>
      <x:c r="C61" s="46" t="str">
        <x:v>Johannesburg / Gauteng</x:v>
      </x:c>
      <x:c r="D61" s="46" t="str">
        <x:v>CHILLIES</x:v>
      </x:c>
      <x:c r="E61" s="46" t="str"/>
      <x:c r="F61" s="71" t="n">
        <x:v>1.954574</x:v>
      </x:c>
      <x:c r="G61" s="46" t="str">
        <x:v>ZAR</x:v>
      </x:c>
      <x:c r="H61" s="46" t="str">
        <x:v>R/kg (derived)</x:v>
      </x:c>
      <x:c r="I61" s="46" t="str">
        <x:v>derived market average</x:v>
      </x:c>
      <x:c r="J61" s="46" t="str">
        <x:v>2026-08-29</x:v>
      </x:c>
      <x:c r="K61" s="46" t="str">
        <x:v>Joburg Market</x:v>
      </x:c>
      <x:c r="L61" s="67" t="str">
        <x:v>https://joburgmarket.co.za/jhb-market/dailyprices.php</x:v>
      </x:c>
      <x:c r="M61" s="46" t="str">
        <x:v>Total value sold R206,448.00; total kg sold 105,623</x:v>
      </x:c>
      <x:c r="N61" s="46" t="str">
        <x:v>Yes</x:v>
      </x:c>
      <x:c r="O61" s="46" t="str">
        <x:v>Current page content dated 29/Aug/2026</x:v>
      </x:c>
      <x:c r="P61" s="46" t="str">
        <x:v>Derived = total value sold ÷ total kg sold. Keep raw totals because packaging/grades can make derived R/kg non-comparable.</x:v>
      </x:c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64" t="str">
        <x:v>Gauteng vegetable traders</x:v>
      </x:c>
      <x:c r="B62" s="64" t="str">
        <x:v>South Africa</x:v>
      </x:c>
      <x:c r="C62" s="64" t="str">
        <x:v>Johannesburg / Gauteng</x:v>
      </x:c>
      <x:c r="D62" s="64" t="str">
        <x:v>CUCUMBER</x:v>
      </x:c>
      <x:c r="E62" s="64" t="str"/>
      <x:c r="F62" s="70" t="n">
        <x:v>4.422311</x:v>
      </x:c>
      <x:c r="G62" s="64" t="str">
        <x:v>ZAR</x:v>
      </x:c>
      <x:c r="H62" s="64" t="str">
        <x:v>R/kg (derived)</x:v>
      </x:c>
      <x:c r="I62" s="64" t="str">
        <x:v>derived market average</x:v>
      </x:c>
      <x:c r="J62" s="64" t="str">
        <x:v>2026-08-29</x:v>
      </x:c>
      <x:c r="K62" s="64" t="str">
        <x:v>Joburg Market</x:v>
      </x:c>
      <x:c r="L62" s="66" t="str">
        <x:v>https://joburgmarket.co.za/jhb-market/dailyprices.php</x:v>
      </x:c>
      <x:c r="M62" s="64" t="str">
        <x:v>Total value sold R5,550.00; total kg sold 1,255</x:v>
      </x:c>
      <x:c r="N62" s="64" t="str">
        <x:v>Yes</x:v>
      </x:c>
      <x:c r="O62" s="64" t="str">
        <x:v>Current page content dated 29/Aug/2026</x:v>
      </x:c>
      <x:c r="P62" s="64" t="str">
        <x:v>Derived = total value sold ÷ total kg sold. Keep raw totals because packaging/grades can make derived R/kg non-comparable.</x:v>
      </x:c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6" t="str">
        <x:v>Gauteng vegetable traders</x:v>
      </x:c>
      <x:c r="B63" s="46" t="str">
        <x:v>South Africa</x:v>
      </x:c>
      <x:c r="C63" s="46" t="str">
        <x:v>Johannesburg / Gauteng</x:v>
      </x:c>
      <x:c r="D63" s="46" t="str">
        <x:v>GARLIC</x:v>
      </x:c>
      <x:c r="E63" s="46" t="str"/>
      <x:c r="F63" s="71" t="n">
        <x:v>11.554988</x:v>
      </x:c>
      <x:c r="G63" s="46" t="str">
        <x:v>ZAR</x:v>
      </x:c>
      <x:c r="H63" s="46" t="str">
        <x:v>R/kg (derived)</x:v>
      </x:c>
      <x:c r="I63" s="46" t="str">
        <x:v>derived market average</x:v>
      </x:c>
      <x:c r="J63" s="46" t="str">
        <x:v>2026-08-29</x:v>
      </x:c>
      <x:c r="K63" s="46" t="str">
        <x:v>Joburg Market</x:v>
      </x:c>
      <x:c r="L63" s="67" t="str">
        <x:v>https://joburgmarket.co.za/jhb-market/dailyprices.php</x:v>
      </x:c>
      <x:c r="M63" s="46" t="str">
        <x:v>Total value sold R167,270.00; total kg sold 14,476</x:v>
      </x:c>
      <x:c r="N63" s="46" t="str">
        <x:v>Yes</x:v>
      </x:c>
      <x:c r="O63" s="46" t="str">
        <x:v>Current page content dated 29/Aug/2026</x:v>
      </x:c>
      <x:c r="P63" s="46" t="str">
        <x:v>Derived = total value sold ÷ total kg sold. Keep raw totals because packaging/grades can make derived R/kg non-comparable.</x:v>
      </x:c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64" t="str">
        <x:v>Gauteng vegetable traders</x:v>
      </x:c>
      <x:c r="B64" s="64" t="str">
        <x:v>South Africa</x:v>
      </x:c>
      <x:c r="C64" s="64" t="str">
        <x:v>Johannesburg / Gauteng</x:v>
      </x:c>
      <x:c r="D64" s="64" t="str">
        <x:v>GREEN PEPPERS</x:v>
      </x:c>
      <x:c r="E64" s="64" t="str"/>
      <x:c r="F64" s="70" t="n">
        <x:v>2.617387</x:v>
      </x:c>
      <x:c r="G64" s="64" t="str">
        <x:v>ZAR</x:v>
      </x:c>
      <x:c r="H64" s="64" t="str">
        <x:v>R/kg (derived)</x:v>
      </x:c>
      <x:c r="I64" s="64" t="str">
        <x:v>derived market average</x:v>
      </x:c>
      <x:c r="J64" s="64" t="str">
        <x:v>2026-08-29</x:v>
      </x:c>
      <x:c r="K64" s="64" t="str">
        <x:v>Joburg Market</x:v>
      </x:c>
      <x:c r="L64" s="66" t="str">
        <x:v>https://joburgmarket.co.za/jhb-market/dailyprices.php</x:v>
      </x:c>
      <x:c r="M64" s="64" t="str">
        <x:v>Total value sold R1,196,117.00; total kg sold 456,989</x:v>
      </x:c>
      <x:c r="N64" s="64" t="str">
        <x:v>Yes</x:v>
      </x:c>
      <x:c r="O64" s="64" t="str">
        <x:v>Current page content dated 29/Aug/2026</x:v>
      </x:c>
      <x:c r="P64" s="64" t="str">
        <x:v>Derived = total value sold ÷ total kg sold. Keep raw totals because packaging/grades can make derived R/kg non-comparable.</x:v>
      </x:c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6" t="str">
        <x:v>Gauteng vegetable traders</x:v>
      </x:c>
      <x:c r="B65" s="46" t="str">
        <x:v>South Africa</x:v>
      </x:c>
      <x:c r="C65" s="46" t="str">
        <x:v>Johannesburg / Gauteng</x:v>
      </x:c>
      <x:c r="D65" s="46" t="str">
        <x:v>LETTUCE</x:v>
      </x:c>
      <x:c r="E65" s="46" t="str"/>
      <x:c r="F65" s="71" t="n">
        <x:v>4.796248</x:v>
      </x:c>
      <x:c r="G65" s="46" t="str">
        <x:v>ZAR</x:v>
      </x:c>
      <x:c r="H65" s="46" t="str">
        <x:v>R/kg (derived)</x:v>
      </x:c>
      <x:c r="I65" s="46" t="str">
        <x:v>derived market average</x:v>
      </x:c>
      <x:c r="J65" s="46" t="str">
        <x:v>2026-08-29</x:v>
      </x:c>
      <x:c r="K65" s="46" t="str">
        <x:v>Joburg Market</x:v>
      </x:c>
      <x:c r="L65" s="67" t="str">
        <x:v>https://joburgmarket.co.za/jhb-market/dailyprices.php</x:v>
      </x:c>
      <x:c r="M65" s="46" t="str">
        <x:v>Total value sold R545,132.00; total kg sold 113,658</x:v>
      </x:c>
      <x:c r="N65" s="46" t="str">
        <x:v>Yes</x:v>
      </x:c>
      <x:c r="O65" s="46" t="str">
        <x:v>Current page content dated 29/Aug/2026</x:v>
      </x:c>
      <x:c r="P65" s="46" t="str">
        <x:v>Derived = total value sold ÷ total kg sold. Keep raw totals because packaging/grades can make derived R/kg non-comparable.</x:v>
      </x:c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64" t="str">
        <x:v>Gauteng vegetable traders</x:v>
      </x:c>
      <x:c r="B66" s="64" t="str">
        <x:v>South Africa</x:v>
      </x:c>
      <x:c r="C66" s="64" t="str">
        <x:v>Johannesburg / Gauteng</x:v>
      </x:c>
      <x:c r="D66" s="64" t="str">
        <x:v>MANGO</x:v>
      </x:c>
      <x:c r="E66" s="64" t="str"/>
      <x:c r="F66" s="70" t="n">
        <x:v>28.071429</x:v>
      </x:c>
      <x:c r="G66" s="64" t="str">
        <x:v>ZAR</x:v>
      </x:c>
      <x:c r="H66" s="64" t="str">
        <x:v>R/kg (derived)</x:v>
      </x:c>
      <x:c r="I66" s="64" t="str">
        <x:v>derived market average</x:v>
      </x:c>
      <x:c r="J66" s="64" t="str">
        <x:v>2026-08-29</x:v>
      </x:c>
      <x:c r="K66" s="64" t="str">
        <x:v>Joburg Market</x:v>
      </x:c>
      <x:c r="L66" s="66" t="str">
        <x:v>https://joburgmarket.co.za/jhb-market/dailyprices.php</x:v>
      </x:c>
      <x:c r="M66" s="64" t="str">
        <x:v>Total value sold R19,650.00; total kg sold 700</x:v>
      </x:c>
      <x:c r="N66" s="64" t="str">
        <x:v>Yes</x:v>
      </x:c>
      <x:c r="O66" s="64" t="str">
        <x:v>Current page content dated 29/Aug/2026</x:v>
      </x:c>
      <x:c r="P66" s="64" t="str">
        <x:v>Derived = total value sold ÷ total kg sold. Keep raw totals because packaging/grades can make derived R/kg non-comparable.</x:v>
      </x:c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6" t="str">
        <x:v>Gauteng vegetable traders</x:v>
      </x:c>
      <x:c r="B67" s="46" t="str">
        <x:v>South Africa</x:v>
      </x:c>
      <x:c r="C67" s="46" t="str">
        <x:v>Johannesburg / Gauteng</x:v>
      </x:c>
      <x:c r="D67" s="46" t="str">
        <x:v>PINEAPPLES</x:v>
      </x:c>
      <x:c r="E67" s="46" t="str"/>
      <x:c r="F67" s="71" t="n">
        <x:v>0.250007</x:v>
      </x:c>
      <x:c r="G67" s="46" t="str">
        <x:v>ZAR</x:v>
      </x:c>
      <x:c r="H67" s="46" t="str">
        <x:v>R/kg (derived)</x:v>
      </x:c>
      <x:c r="I67" s="46" t="str">
        <x:v>derived market average</x:v>
      </x:c>
      <x:c r="J67" s="46" t="str">
        <x:v>2026-08-29</x:v>
      </x:c>
      <x:c r="K67" s="46" t="str">
        <x:v>Joburg Market</x:v>
      </x:c>
      <x:c r="L67" s="67" t="str">
        <x:v>https://joburgmarket.co.za/jhb-market/dailyprices.php</x:v>
      </x:c>
      <x:c r="M67" s="46" t="str">
        <x:v>Total value sold R234,362.00; total kg sold 937,420</x:v>
      </x:c>
      <x:c r="N67" s="46" t="str">
        <x:v>Yes</x:v>
      </x:c>
      <x:c r="O67" s="46" t="str">
        <x:v>Current page content dated 29/Aug/2026</x:v>
      </x:c>
      <x:c r="P67" s="46" t="str">
        <x:v>Derived = total value sold ÷ total kg sold. Keep raw totals because packaging/grades can make derived R/kg non-comparable.</x:v>
      </x:c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64" t="str">
        <x:v>Gauteng vegetable traders</x:v>
      </x:c>
      <x:c r="B68" s="64" t="str">
        <x:v>South Africa</x:v>
      </x:c>
      <x:c r="C68" s="64" t="str">
        <x:v>Johannesburg / Gauteng</x:v>
      </x:c>
      <x:c r="D68" s="64" t="str">
        <x:v>POTATOES</x:v>
      </x:c>
      <x:c r="E68" s="64" t="str"/>
      <x:c r="F68" s="70" t="n">
        <x:v>0.23441</x:v>
      </x:c>
      <x:c r="G68" s="64" t="str">
        <x:v>ZAR</x:v>
      </x:c>
      <x:c r="H68" s="64" t="str">
        <x:v>R/kg (derived)</x:v>
      </x:c>
      <x:c r="I68" s="64" t="str">
        <x:v>derived market average</x:v>
      </x:c>
      <x:c r="J68" s="64" t="str">
        <x:v>2026-08-29</x:v>
      </x:c>
      <x:c r="K68" s="64" t="str">
        <x:v>Joburg Market</x:v>
      </x:c>
      <x:c r="L68" s="66" t="str">
        <x:v>https://joburgmarket.co.za/jhb-market/dailyprices.php</x:v>
      </x:c>
      <x:c r="M68" s="64" t="str">
        <x:v>Total value sold R7,637,740.00; total kg sold 32,582,787</x:v>
      </x:c>
      <x:c r="N68" s="64" t="str">
        <x:v>Yes</x:v>
      </x:c>
      <x:c r="O68" s="64" t="str">
        <x:v>Current page content dated 29/Aug/2026</x:v>
      </x:c>
      <x:c r="P68" s="64" t="str">
        <x:v>Derived = total value sold ÷ total kg sold. Keep raw totals because packaging/grades can make derived R/kg non-comparable.</x:v>
      </x:c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6" t="str">
        <x:v>Gauteng vegetable traders</x:v>
      </x:c>
      <x:c r="B69" s="46" t="str">
        <x:v>South Africa</x:v>
      </x:c>
      <x:c r="C69" s="46" t="str">
        <x:v>Johannesburg / Gauteng</x:v>
      </x:c>
      <x:c r="D69" s="46" t="str">
        <x:v>SPINACH</x:v>
      </x:c>
      <x:c r="E69" s="46" t="str"/>
      <x:c r="F69" s="71" t="n">
        <x:v>0.067082</x:v>
      </x:c>
      <x:c r="G69" s="46" t="str">
        <x:v>ZAR</x:v>
      </x:c>
      <x:c r="H69" s="46" t="str">
        <x:v>R/kg (derived)</x:v>
      </x:c>
      <x:c r="I69" s="46" t="str">
        <x:v>derived market average</x:v>
      </x:c>
      <x:c r="J69" s="46" t="str">
        <x:v>2026-08-29</x:v>
      </x:c>
      <x:c r="K69" s="46" t="str">
        <x:v>Joburg Market</x:v>
      </x:c>
      <x:c r="L69" s="67" t="str">
        <x:v>https://joburgmarket.co.za/jhb-market/dailyprices.php</x:v>
      </x:c>
      <x:c r="M69" s="46" t="str">
        <x:v>Total value sold R54,907.50; total kg sold 818,515</x:v>
      </x:c>
      <x:c r="N69" s="46" t="str">
        <x:v>Yes</x:v>
      </x:c>
      <x:c r="O69" s="46" t="str">
        <x:v>Current page content dated 29/Aug/2026</x:v>
      </x:c>
      <x:c r="P69" s="46" t="str">
        <x:v>Derived = total value sold ÷ total kg sold. Keep raw totals because packaging/grades can make derived R/kg non-comparable.</x:v>
      </x:c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64" t="str">
        <x:v>Gauteng vegetable traders</x:v>
      </x:c>
      <x:c r="B70" s="64" t="str">
        <x:v>South Africa</x:v>
      </x:c>
      <x:c r="C70" s="64" t="str">
        <x:v>Johannesburg / Gauteng</x:v>
      </x:c>
      <x:c r="D70" s="64" t="str">
        <x:v>STRAWBERRIES</x:v>
      </x:c>
      <x:c r="E70" s="64" t="str"/>
      <x:c r="F70" s="70" t="n">
        <x:v>2.071592</x:v>
      </x:c>
      <x:c r="G70" s="64" t="str">
        <x:v>ZAR</x:v>
      </x:c>
      <x:c r="H70" s="64" t="str">
        <x:v>R/kg (derived)</x:v>
      </x:c>
      <x:c r="I70" s="64" t="str">
        <x:v>derived market average</x:v>
      </x:c>
      <x:c r="J70" s="64" t="str">
        <x:v>2026-08-29</x:v>
      </x:c>
      <x:c r="K70" s="64" t="str">
        <x:v>Joburg Market</x:v>
      </x:c>
      <x:c r="L70" s="66" t="str">
        <x:v>https://joburgmarket.co.za/jhb-market/dailyprices.php</x:v>
      </x:c>
      <x:c r="M70" s="64" t="str">
        <x:v>Total value sold R961,111.00; total kg sold 463,948</x:v>
      </x:c>
      <x:c r="N70" s="64" t="str">
        <x:v>Yes</x:v>
      </x:c>
      <x:c r="O70" s="64" t="str">
        <x:v>Current page content dated 29/Aug/2026</x:v>
      </x:c>
      <x:c r="P70" s="64" t="str">
        <x:v>Derived = total value sold ÷ total kg sold. Keep raw totals because packaging/grades can make derived R/kg non-comparable.</x:v>
      </x:c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6" t="str">
        <x:v>Gauteng vegetable traders</x:v>
      </x:c>
      <x:c r="B71" s="46" t="str">
        <x:v>South Africa</x:v>
      </x:c>
      <x:c r="C71" s="46" t="str">
        <x:v>Johannesburg / Gauteng</x:v>
      </x:c>
      <x:c r="D71" s="46" t="str">
        <x:v>SWEET CORN</x:v>
      </x:c>
      <x:c r="E71" s="46" t="str"/>
      <x:c r="F71" s="71" t="n">
        <x:v>3.79379</x:v>
      </x:c>
      <x:c r="G71" s="46" t="str">
        <x:v>ZAR</x:v>
      </x:c>
      <x:c r="H71" s="46" t="str">
        <x:v>R/kg (derived)</x:v>
      </x:c>
      <x:c r="I71" s="46" t="str">
        <x:v>derived market average</x:v>
      </x:c>
      <x:c r="J71" s="46" t="str">
        <x:v>2026-08-29</x:v>
      </x:c>
      <x:c r="K71" s="46" t="str">
        <x:v>Joburg Market</x:v>
      </x:c>
      <x:c r="L71" s="67" t="str">
        <x:v>https://joburgmarket.co.za/jhb-market/dailyprices.php</x:v>
      </x:c>
      <x:c r="M71" s="46" t="str">
        <x:v>Total value sold R313,754.00; total kg sold 82,702</x:v>
      </x:c>
      <x:c r="N71" s="46" t="str">
        <x:v>Yes</x:v>
      </x:c>
      <x:c r="O71" s="46" t="str">
        <x:v>Current page content dated 29/Aug/2026</x:v>
      </x:c>
      <x:c r="P71" s="46" t="str">
        <x:v>Derived = total value sold ÷ total kg sold. Keep raw totals because packaging/grades can make derived R/kg non-comparable.</x:v>
      </x:c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64" t="str">
        <x:v>Gauteng vegetable traders</x:v>
      </x:c>
      <x:c r="B72" s="64" t="str">
        <x:v>South Africa</x:v>
      </x:c>
      <x:c r="C72" s="64" t="str">
        <x:v>Johannesburg / Gauteng</x:v>
      </x:c>
      <x:c r="D72" s="64" t="str">
        <x:v>SWEET POTATO</x:v>
      </x:c>
      <x:c r="E72" s="64" t="str"/>
      <x:c r="F72" s="70" t="n">
        <x:v>0.124536</x:v>
      </x:c>
      <x:c r="G72" s="64" t="str">
        <x:v>ZAR</x:v>
      </x:c>
      <x:c r="H72" s="64" t="str">
        <x:v>R/kg (derived)</x:v>
      </x:c>
      <x:c r="I72" s="64" t="str">
        <x:v>derived market average</x:v>
      </x:c>
      <x:c r="J72" s="64" t="str">
        <x:v>2026-08-29</x:v>
      </x:c>
      <x:c r="K72" s="64" t="str">
        <x:v>Joburg Market</x:v>
      </x:c>
      <x:c r="L72" s="66" t="str">
        <x:v>https://joburgmarket.co.za/jhb-market/dailyprices.php</x:v>
      </x:c>
      <x:c r="M72" s="64" t="str">
        <x:v>Total value sold R148,437.00; total kg sold 1,191,925</x:v>
      </x:c>
      <x:c r="N72" s="64" t="str">
        <x:v>Yes</x:v>
      </x:c>
      <x:c r="O72" s="64" t="str">
        <x:v>Current page content dated 29/Aug/2026</x:v>
      </x:c>
      <x:c r="P72" s="64" t="str">
        <x:v>Derived = total value sold ÷ total kg sold. Keep raw totals because packaging/grades can make derived R/kg non-comparable.</x:v>
      </x:c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6" t="str">
        <x:v>Gauteng vegetable traders</x:v>
      </x:c>
      <x:c r="B73" s="46" t="str">
        <x:v>South Africa</x:v>
      </x:c>
      <x:c r="C73" s="46" t="str">
        <x:v>Johannesburg / Gauteng</x:v>
      </x:c>
      <x:c r="D73" s="46" t="str">
        <x:v>TOMATOES</x:v>
      </x:c>
      <x:c r="E73" s="46" t="str"/>
      <x:c r="F73" s="71" t="n">
        <x:v>0.34769</x:v>
      </x:c>
      <x:c r="G73" s="46" t="str">
        <x:v>ZAR</x:v>
      </x:c>
      <x:c r="H73" s="46" t="str">
        <x:v>R/kg (derived)</x:v>
      </x:c>
      <x:c r="I73" s="46" t="str">
        <x:v>derived market average</x:v>
      </x:c>
      <x:c r="J73" s="46" t="str">
        <x:v>2026-08-29</x:v>
      </x:c>
      <x:c r="K73" s="46" t="str">
        <x:v>Joburg Market</x:v>
      </x:c>
      <x:c r="L73" s="67" t="str">
        <x:v>https://joburgmarket.co.za/jhb-market/dailyprices.php</x:v>
      </x:c>
      <x:c r="M73" s="46" t="str">
        <x:v>Total value sold R3,561,965.00; total kg sold 10,244,648</x:v>
      </x:c>
      <x:c r="N73" s="46" t="str">
        <x:v>Yes</x:v>
      </x:c>
      <x:c r="O73" s="46" t="str">
        <x:v>Current page content dated 29/Aug/2026</x:v>
      </x:c>
      <x:c r="P73" s="46" t="str">
        <x:v>Derived = total value sold ÷ total kg sold. Keep raw totals because packaging/grades can make derived R/kg non-comparable.</x:v>
      </x:c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64" t="str">
        <x:v>Kenya fruit farmers</x:v>
      </x:c>
      <x:c r="B74" s="64" t="str">
        <x:v>Kenya</x:v>
      </x:c>
      <x:c r="C74" s="64" t="str">
        <x:v>Kangeta, Meru</x:v>
      </x:c>
      <x:c r="D74" s="64" t="str">
        <x:v>Carrots</x:v>
      </x:c>
      <x:c r="E74" s="64" t="str"/>
      <x:c r="F74" s="70"/>
      <x:c r="G74" s="64" t="str">
        <x:v>KES</x:v>
      </x:c>
      <x:c r="H74" s="64" t="str">
        <x:v>KES/kg</x:v>
      </x:c>
      <x:c r="I74" s="64" t="str">
        <x:v>wholesale + retail</x:v>
      </x:c>
      <x:c r="J74" s="64" t="str">
        <x:v>2026-04-22</x:v>
      </x:c>
      <x:c r="K74" s="64" t="str">
        <x:v>KAMIS</x:v>
      </x:c>
      <x:c r="L74" s="66" t="str">
        <x:v>https://kamis.kilimo.go.ke/site/market</x:v>
      </x:c>
      <x:c r="M74" s="64" t="str">
        <x:v>Wholesale 40 / Retail 50 KES/kg; supply volume 1800</x:v>
      </x:c>
      <x:c r="N74" s="64" t="str">
        <x:v>No</x:v>
      </x:c>
      <x:c r="O74" s="64" t="str">
        <x:v>Observed table date 2026-04-22</x:v>
      </x:c>
      <x:c r="P74" s="64" t="str">
        <x:v>Official KAMIS market-price row; use wholesale and retail as separate fields in production schema.</x:v>
      </x:c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6" t="str">
        <x:v>Kenya fruit farmers</x:v>
      </x:c>
      <x:c r="B75" s="46" t="str">
        <x:v>Kenya</x:v>
      </x:c>
      <x:c r="C75" s="46" t="str">
        <x:v>Kangeta, Meru</x:v>
      </x:c>
      <x:c r="D75" s="46" t="str">
        <x:v>Carrots</x:v>
      </x:c>
      <x:c r="E75" s="46" t="str"/>
      <x:c r="F75" s="71"/>
      <x:c r="G75" s="46" t="str">
        <x:v>KES</x:v>
      </x:c>
      <x:c r="H75" s="46" t="str">
        <x:v>KES/kg</x:v>
      </x:c>
      <x:c r="I75" s="46" t="str">
        <x:v>wholesale + retail</x:v>
      </x:c>
      <x:c r="J75" s="46" t="str">
        <x:v>2026-04-22</x:v>
      </x:c>
      <x:c r="K75" s="46" t="str">
        <x:v>KAMIS</x:v>
      </x:c>
      <x:c r="L75" s="67" t="str">
        <x:v>https://kamis.kilimo.go.ke/site/market</x:v>
      </x:c>
      <x:c r="M75" s="46" t="str">
        <x:v>Wholesale 50 / Retail 60 KES/kg; supply volume 708</x:v>
      </x:c>
      <x:c r="N75" s="46" t="str">
        <x:v>No</x:v>
      </x:c>
      <x:c r="O75" s="46" t="str">
        <x:v>Observed table date 2026-04-22</x:v>
      </x:c>
      <x:c r="P75" s="46" t="str">
        <x:v>Official KAMIS market-price row; use wholesale and retail as separate fields in production schema.</x:v>
      </x:c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64" t="str">
        <x:v>Kenya fruit farmers</x:v>
      </x:c>
      <x:c r="B76" s="64" t="str">
        <x:v>Kenya</x:v>
      </x:c>
      <x:c r="C76" s="64" t="str">
        <x:v>Mulot, Bomet</x:v>
      </x:c>
      <x:c r="D76" s="64" t="str">
        <x:v>Tomatoes</x:v>
      </x:c>
      <x:c r="E76" s="64" t="str"/>
      <x:c r="F76" s="70"/>
      <x:c r="G76" s="64" t="str">
        <x:v>KES</x:v>
      </x:c>
      <x:c r="H76" s="64" t="str">
        <x:v>KES/kg</x:v>
      </x:c>
      <x:c r="I76" s="64" t="str">
        <x:v>wholesale + retail</x:v>
      </x:c>
      <x:c r="J76" s="64" t="str">
        <x:v>2026-04-22</x:v>
      </x:c>
      <x:c r="K76" s="64" t="str">
        <x:v>KAMIS</x:v>
      </x:c>
      <x:c r="L76" s="66" t="str">
        <x:v>https://kamis.kilimo.go.ke/site/market</x:v>
      </x:c>
      <x:c r="M76" s="64" t="str">
        <x:v>Wholesale 102.94 / Retail 150 KES/kg; supply volume 1200</x:v>
      </x:c>
      <x:c r="N76" s="64" t="str">
        <x:v>No</x:v>
      </x:c>
      <x:c r="O76" s="64" t="str">
        <x:v>Observed table date 2026-04-22</x:v>
      </x:c>
      <x:c r="P76" s="64" t="str">
        <x:v>Official KAMIS market-price row; use wholesale and retail as separate fields in production schema.</x:v>
      </x:c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6" t="str">
        <x:v>Kenya fruit farmers</x:v>
      </x:c>
      <x:c r="B77" s="46" t="str">
        <x:v>Kenya</x:v>
      </x:c>
      <x:c r="C77" s="46" t="str">
        <x:v>Kangeta, Meru</x:v>
      </x:c>
      <x:c r="D77" s="46" t="str">
        <x:v>Capsicums</x:v>
      </x:c>
      <x:c r="E77" s="46" t="str"/>
      <x:c r="F77" s="71"/>
      <x:c r="G77" s="46" t="str">
        <x:v>KES</x:v>
      </x:c>
      <x:c r="H77" s="46" t="str">
        <x:v>KES/kg</x:v>
      </x:c>
      <x:c r="I77" s="46" t="str">
        <x:v>wholesale + retail</x:v>
      </x:c>
      <x:c r="J77" s="46" t="str">
        <x:v>2026-04-22</x:v>
      </x:c>
      <x:c r="K77" s="46" t="str">
        <x:v>KAMIS</x:v>
      </x:c>
      <x:c r="L77" s="67" t="str">
        <x:v>https://kamis.kilimo.go.ke/site/market</x:v>
      </x:c>
      <x:c r="M77" s="46" t="str">
        <x:v>Wholesale 60 / Retail 70 KES/kg; supply volume 220</x:v>
      </x:c>
      <x:c r="N77" s="46" t="str">
        <x:v>No</x:v>
      </x:c>
      <x:c r="O77" s="46" t="str">
        <x:v>Observed table date 2026-04-22</x:v>
      </x:c>
      <x:c r="P77" s="46" t="str">
        <x:v>Official KAMIS market-price row; use wholesale and retail as separate fields in production schema.</x:v>
      </x:c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64" t="str">
        <x:v>Kenya fruit farmers</x:v>
      </x:c>
      <x:c r="B78" s="64" t="str">
        <x:v>Kenya</x:v>
      </x:c>
      <x:c r="C78" s="64" t="str">
        <x:v>Kangeta, Meru</x:v>
      </x:c>
      <x:c r="D78" s="64" t="str">
        <x:v>Cabbages</x:v>
      </x:c>
      <x:c r="E78" s="64" t="str"/>
      <x:c r="F78" s="70"/>
      <x:c r="G78" s="64" t="str">
        <x:v>KES</x:v>
      </x:c>
      <x:c r="H78" s="64" t="str">
        <x:v>KES/kg</x:v>
      </x:c>
      <x:c r="I78" s="64" t="str">
        <x:v>wholesale + retail</x:v>
      </x:c>
      <x:c r="J78" s="64" t="str">
        <x:v>2026-04-22</x:v>
      </x:c>
      <x:c r="K78" s="64" t="str">
        <x:v>KAMIS</x:v>
      </x:c>
      <x:c r="L78" s="66" t="str">
        <x:v>https://kamis.kilimo.go.ke/site/market</x:v>
      </x:c>
      <x:c r="M78" s="64" t="str">
        <x:v>Wholesale 10 / Retail 15 KES/kg; supply volume 4500</x:v>
      </x:c>
      <x:c r="N78" s="64" t="str">
        <x:v>No</x:v>
      </x:c>
      <x:c r="O78" s="64" t="str">
        <x:v>Observed table date 2026-04-22</x:v>
      </x:c>
      <x:c r="P78" s="64" t="str">
        <x:v>Official KAMIS market-price row; use wholesale and retail as separate fields in production schema.</x:v>
      </x:c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6" t="str">
        <x:v>Kenya fruit farmers</x:v>
      </x:c>
      <x:c r="B79" s="46" t="str">
        <x:v>Kenya</x:v>
      </x:c>
      <x:c r="C79" s="46" t="str">
        <x:v>Kangeta, Meru</x:v>
      </x:c>
      <x:c r="D79" s="46" t="str">
        <x:v>Butternuts</x:v>
      </x:c>
      <x:c r="E79" s="46" t="str"/>
      <x:c r="F79" s="71"/>
      <x:c r="G79" s="46" t="str">
        <x:v>KES</x:v>
      </x:c>
      <x:c r="H79" s="46" t="str">
        <x:v>KES/kg</x:v>
      </x:c>
      <x:c r="I79" s="46" t="str">
        <x:v>wholesale + retail</x:v>
      </x:c>
      <x:c r="J79" s="46" t="str">
        <x:v>2026-04-22</x:v>
      </x:c>
      <x:c r="K79" s="46" t="str">
        <x:v>KAMIS</x:v>
      </x:c>
      <x:c r="L79" s="67" t="str">
        <x:v>https://kamis.kilimo.go.ke/site/market</x:v>
      </x:c>
      <x:c r="M79" s="46" t="str">
        <x:v>Wholesale 60 / Retail 70 KES/kg; supply volume 78</x:v>
      </x:c>
      <x:c r="N79" s="46" t="str">
        <x:v>No</x:v>
      </x:c>
      <x:c r="O79" s="46" t="str">
        <x:v>Observed table date 2026-04-22</x:v>
      </x:c>
      <x:c r="P79" s="46" t="str">
        <x:v>Official KAMIS market-price row; use wholesale and retail as separate fields in production schema.</x:v>
      </x:c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64" t="str">
        <x:v>Kenya fruit farmers</x:v>
      </x:c>
      <x:c r="B80" s="64" t="str">
        <x:v>Kenya</x:v>
      </x:c>
      <x:c r="C80" s="64" t="str">
        <x:v>Kangeta, Meru</x:v>
      </x:c>
      <x:c r="D80" s="64" t="str">
        <x:v>Banana (Cooking)</x:v>
      </x:c>
      <x:c r="E80" s="64" t="str"/>
      <x:c r="F80" s="70"/>
      <x:c r="G80" s="64" t="str">
        <x:v>KES</x:v>
      </x:c>
      <x:c r="H80" s="64" t="str">
        <x:v>KES/kg</x:v>
      </x:c>
      <x:c r="I80" s="64" t="str">
        <x:v>wholesale + retail</x:v>
      </x:c>
      <x:c r="J80" s="64" t="str">
        <x:v>2026-04-22</x:v>
      </x:c>
      <x:c r="K80" s="64" t="str">
        <x:v>KAMIS</x:v>
      </x:c>
      <x:c r="L80" s="66" t="str">
        <x:v>https://kamis.kilimo.go.ke/site/market</x:v>
      </x:c>
      <x:c r="M80" s="64" t="str">
        <x:v>Wholesale 25 / Retail 30 KES/kg; supply volume 400</x:v>
      </x:c>
      <x:c r="N80" s="64" t="str">
        <x:v>No</x:v>
      </x:c>
      <x:c r="O80" s="64" t="str">
        <x:v>Observed table date 2026-04-22</x:v>
      </x:c>
      <x:c r="P80" s="64" t="str">
        <x:v>Official KAMIS market-price row; use wholesale and retail as separate fields in production schema.</x:v>
      </x:c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6" t="str">
        <x:v>Kenya fruit farmers</x:v>
      </x:c>
      <x:c r="B81" s="46" t="str">
        <x:v>Kenya</x:v>
      </x:c>
      <x:c r="C81" s="46" t="str">
        <x:v>Mulot, Bomet</x:v>
      </x:c>
      <x:c r="D81" s="46" t="str">
        <x:v>Carrots</x:v>
      </x:c>
      <x:c r="E81" s="46" t="str"/>
      <x:c r="F81" s="71"/>
      <x:c r="G81" s="46" t="str">
        <x:v>KES</x:v>
      </x:c>
      <x:c r="H81" s="46" t="str">
        <x:v>KES/kg</x:v>
      </x:c>
      <x:c r="I81" s="46" t="str">
        <x:v>wholesale + retail</x:v>
      </x:c>
      <x:c r="J81" s="46" t="str">
        <x:v>2026-04-22</x:v>
      </x:c>
      <x:c r="K81" s="46" t="str">
        <x:v>KAMIS</x:v>
      </x:c>
      <x:c r="L81" s="67" t="str">
        <x:v>https://kamis.kilimo.go.ke/site/market</x:v>
      </x:c>
      <x:c r="M81" s="46" t="str">
        <x:v>Wholesale 60 / Retail 80 KES/kg; supply volume 500</x:v>
      </x:c>
      <x:c r="N81" s="46" t="str">
        <x:v>No</x:v>
      </x:c>
      <x:c r="O81" s="46" t="str">
        <x:v>Observed table date 2026-04-22</x:v>
      </x:c>
      <x:c r="P81" s="46" t="str">
        <x:v>Official KAMIS market-price row; use wholesale and retail as separate fields in production schema.</x:v>
      </x:c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64" t="str">
        <x:v>Kenya fruit farmers</x:v>
      </x:c>
      <x:c r="B82" s="64" t="str">
        <x:v>Kenya</x:v>
      </x:c>
      <x:c r="C82" s="64" t="str">
        <x:v>Mulot, Bomet</x:v>
      </x:c>
      <x:c r="D82" s="64" t="str">
        <x:v>Cabbages</x:v>
      </x:c>
      <x:c r="E82" s="64" t="str"/>
      <x:c r="F82" s="70"/>
      <x:c r="G82" s="64" t="str">
        <x:v>KES</x:v>
      </x:c>
      <x:c r="H82" s="64" t="str">
        <x:v>KES/kg</x:v>
      </x:c>
      <x:c r="I82" s="64" t="str">
        <x:v>wholesale + retail</x:v>
      </x:c>
      <x:c r="J82" s="64" t="str">
        <x:v>2026-04-22</x:v>
      </x:c>
      <x:c r="K82" s="64" t="str">
        <x:v>KAMIS</x:v>
      </x:c>
      <x:c r="L82" s="66" t="str">
        <x:v>https://kamis.kilimo.go.ke/site/market</x:v>
      </x:c>
      <x:c r="M82" s="64" t="str">
        <x:v>Wholesale 7 / Retail 10 KES/kg; supply volume 4800</x:v>
      </x:c>
      <x:c r="N82" s="64" t="str">
        <x:v>No</x:v>
      </x:c>
      <x:c r="O82" s="64" t="str">
        <x:v>Observed table date 2026-04-22</x:v>
      </x:c>
      <x:c r="P82" s="64" t="str">
        <x:v>Official KAMIS market-price row; use wholesale and retail as separate fields in production schema.</x:v>
      </x:c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6" t="str">
        <x:v>Kenya fruit farmers</x:v>
      </x:c>
      <x:c r="B83" s="46" t="str">
        <x:v>Kenya</x:v>
      </x:c>
      <x:c r="C83" s="46" t="str">
        <x:v>Kawangware, Nairobi</x:v>
      </x:c>
      <x:c r="D83" s="46" t="str">
        <x:v>Rice</x:v>
      </x:c>
      <x:c r="E83" s="46" t="str"/>
      <x:c r="F83" s="71"/>
      <x:c r="G83" s="46" t="str">
        <x:v>KES</x:v>
      </x:c>
      <x:c r="H83" s="46" t="str">
        <x:v>KES/kg</x:v>
      </x:c>
      <x:c r="I83" s="46" t="str">
        <x:v>wholesale + retail</x:v>
      </x:c>
      <x:c r="J83" s="46" t="str">
        <x:v>2026-04-22</x:v>
      </x:c>
      <x:c r="K83" s="46" t="str">
        <x:v>KAMIS</x:v>
      </x:c>
      <x:c r="L83" s="67" t="str">
        <x:v>https://kamis.kilimo.go.ke/site/market</x:v>
      </x:c>
      <x:c r="M83" s="46" t="str">
        <x:v>Wholesale 160 / Retail 180 KES/kg; supply volume </x:v>
      </x:c>
      <x:c r="N83" s="46" t="str">
        <x:v>No</x:v>
      </x:c>
      <x:c r="O83" s="46" t="str">
        <x:v>Observed table date 2026-04-22</x:v>
      </x:c>
      <x:c r="P83" s="46" t="str">
        <x:v>Official KAMIS market-price row; use wholesale and retail as separate fields in production schema.</x:v>
      </x:c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64" t="str">
        <x:v>Kenya fruit farmers</x:v>
      </x:c>
      <x:c r="B84" s="64" t="str">
        <x:v>Kenya</x:v>
      </x:c>
      <x:c r="C84" s="64" t="str">
        <x:v>Wakulima Market, Nairobi</x:v>
      </x:c>
      <x:c r="D84" s="64" t="str">
        <x:v>Avocado (Hass)</x:v>
      </x:c>
      <x:c r="E84" s="64" t="str"/>
      <x:c r="F84" s="70" t="n">
        <x:v>18</x:v>
      </x:c>
      <x:c r="G84" s="64" t="str">
        <x:v>KES</x:v>
      </x:c>
      <x:c r="H84" s="64" t="str">
        <x:v>KES/piece</x:v>
      </x:c>
      <x:c r="I84" s="64" t="str">
        <x:v>retail / market</x:v>
      </x:c>
      <x:c r="J84" s="64" t="str">
        <x:v>2026-09-14</x:v>
      </x:c>
      <x:c r="K84" s="64" t="str">
        <x:v>MkulimaHub (secondary)</x:v>
      </x:c>
      <x:c r="L84" s="66" t="str">
        <x:v>https://mkulimahub.org/market-prices</x:v>
      </x:c>
      <x:c r="M84" s="64" t="str"/>
      <x:c r="N84" s="64" t="str">
        <x:v>No</x:v>
      </x:c>
      <x:c r="O84" s="64" t="str">
        <x:v>Current secondary page</x:v>
      </x:c>
      <x:c r="P84" s="64" t="str">
        <x:v>Secondary source; useful cross-check, not primary government data.</x:v>
      </x:c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6" t="str">
        <x:v>Kenya fruit farmers</x:v>
      </x:c>
      <x:c r="B85" s="46" t="str">
        <x:v>Kenya</x:v>
      </x:c>
      <x:c r="C85" s="46" t="str">
        <x:v>Meru Town Market, Meru</x:v>
      </x:c>
      <x:c r="D85" s="46" t="str">
        <x:v>Avocado (Hass)</x:v>
      </x:c>
      <x:c r="E85" s="46" t="str"/>
      <x:c r="F85" s="71" t="n">
        <x:v>15</x:v>
      </x:c>
      <x:c r="G85" s="46" t="str">
        <x:v>KES</x:v>
      </x:c>
      <x:c r="H85" s="46" t="str">
        <x:v>KES/piece</x:v>
      </x:c>
      <x:c r="I85" s="46" t="str">
        <x:v>retail / market</x:v>
      </x:c>
      <x:c r="J85" s="46" t="str">
        <x:v>2026-09-14</x:v>
      </x:c>
      <x:c r="K85" s="46" t="str">
        <x:v>MkulimaHub (secondary)</x:v>
      </x:c>
      <x:c r="L85" s="67" t="str">
        <x:v>https://mkulimahub.org/market-prices</x:v>
      </x:c>
      <x:c r="M85" s="46" t="str"/>
      <x:c r="N85" s="46" t="str">
        <x:v>No</x:v>
      </x:c>
      <x:c r="O85" s="46" t="str">
        <x:v>Current secondary page</x:v>
      </x:c>
      <x:c r="P85" s="46" t="str">
        <x:v>Secondary source; useful cross-check, not primary government data.</x:v>
      </x:c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64" t="str">
        <x:v>Kenya fruit farmers</x:v>
      </x:c>
      <x:c r="B86" s="64" t="str">
        <x:v>Kenya</x:v>
      </x:c>
      <x:c r="C86" s="64" t="str">
        <x:v>Wakulima Market, Nairobi</x:v>
      </x:c>
      <x:c r="D86" s="64" t="str">
        <x:v>Avocado (Fuerte)</x:v>
      </x:c>
      <x:c r="E86" s="64" t="str"/>
      <x:c r="F86" s="70" t="n">
        <x:v>12</x:v>
      </x:c>
      <x:c r="G86" s="64" t="str">
        <x:v>KES</x:v>
      </x:c>
      <x:c r="H86" s="64" t="str">
        <x:v>KES/piece</x:v>
      </x:c>
      <x:c r="I86" s="64" t="str">
        <x:v>retail / market</x:v>
      </x:c>
      <x:c r="J86" s="64" t="str">
        <x:v>2026-09-14</x:v>
      </x:c>
      <x:c r="K86" s="64" t="str">
        <x:v>MkulimaHub (secondary)</x:v>
      </x:c>
      <x:c r="L86" s="66" t="str">
        <x:v>https://mkulimahub.org/market-prices</x:v>
      </x:c>
      <x:c r="M86" s="64" t="str"/>
      <x:c r="N86" s="64" t="str">
        <x:v>No</x:v>
      </x:c>
      <x:c r="O86" s="64" t="str">
        <x:v>Current secondary page</x:v>
      </x:c>
      <x:c r="P86" s="64" t="str">
        <x:v>Secondary source; useful cross-check, not primary government data.</x:v>
      </x:c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6" t="str">
        <x:v>Kenya fruit farmers</x:v>
      </x:c>
      <x:c r="B87" s="46" t="str">
        <x:v>Kenya</x:v>
      </x:c>
      <x:c r="C87" s="46" t="str">
        <x:v>Wakulima Market, Nairobi</x:v>
      </x:c>
      <x:c r="D87" s="46" t="str">
        <x:v>Banana (Cavendish)</x:v>
      </x:c>
      <x:c r="E87" s="46" t="str"/>
      <x:c r="F87" s="71" t="n">
        <x:v>180</x:v>
      </x:c>
      <x:c r="G87" s="46" t="str">
        <x:v>KES</x:v>
      </x:c>
      <x:c r="H87" s="46" t="str">
        <x:v>KES/bunch</x:v>
      </x:c>
      <x:c r="I87" s="46" t="str">
        <x:v>retail / market</x:v>
      </x:c>
      <x:c r="J87" s="46" t="str">
        <x:v>2026-09-14</x:v>
      </x:c>
      <x:c r="K87" s="46" t="str">
        <x:v>MkulimaHub (secondary)</x:v>
      </x:c>
      <x:c r="L87" s="67" t="str">
        <x:v>https://mkulimahub.org/market-prices</x:v>
      </x:c>
      <x:c r="M87" s="46" t="str"/>
      <x:c r="N87" s="46" t="str">
        <x:v>No</x:v>
      </x:c>
      <x:c r="O87" s="46" t="str">
        <x:v>Current secondary page</x:v>
      </x:c>
      <x:c r="P87" s="46" t="str">
        <x:v>Secondary source; useful cross-check, not primary government data.</x:v>
      </x:c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64" t="str">
        <x:v>Kenya fruit farmers</x:v>
      </x:c>
      <x:c r="B88" s="64" t="str">
        <x:v>Kenya</x:v>
      </x:c>
      <x:c r="C88" s="64" t="str">
        <x:v>Kisumu Central, Kisumu</x:v>
      </x:c>
      <x:c r="D88" s="64" t="str">
        <x:v>Banana (Cavendish)</x:v>
      </x:c>
      <x:c r="E88" s="64" t="str"/>
      <x:c r="F88" s="70" t="n">
        <x:v>160</x:v>
      </x:c>
      <x:c r="G88" s="64" t="str">
        <x:v>KES</x:v>
      </x:c>
      <x:c r="H88" s="64" t="str">
        <x:v>KES/bunch</x:v>
      </x:c>
      <x:c r="I88" s="64" t="str">
        <x:v>retail / market</x:v>
      </x:c>
      <x:c r="J88" s="64" t="str">
        <x:v>2026-09-14</x:v>
      </x:c>
      <x:c r="K88" s="64" t="str">
        <x:v>MkulimaHub (secondary)</x:v>
      </x:c>
      <x:c r="L88" s="66" t="str">
        <x:v>https://mkulimahub.org/market-prices</x:v>
      </x:c>
      <x:c r="M88" s="64" t="str"/>
      <x:c r="N88" s="64" t="str">
        <x:v>No</x:v>
      </x:c>
      <x:c r="O88" s="64" t="str">
        <x:v>Current secondary page</x:v>
      </x:c>
      <x:c r="P88" s="64" t="str">
        <x:v>Secondary source; useful cross-check, not primary government data.</x:v>
      </x:c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6" t="str">
        <x:v>Kenya fruit farmers</x:v>
      </x:c>
      <x:c r="B89" s="46" t="str">
        <x:v>Kenya</x:v>
      </x:c>
      <x:c r="C89" s="46" t="str">
        <x:v>Wakulima Market, Nairobi</x:v>
      </x:c>
      <x:c r="D89" s="46" t="str">
        <x:v>Passion Fruit</x:v>
      </x:c>
      <x:c r="E89" s="46" t="str"/>
      <x:c r="F89" s="71" t="n">
        <x:v>350</x:v>
      </x:c>
      <x:c r="G89" s="46" t="str">
        <x:v>KES</x:v>
      </x:c>
      <x:c r="H89" s="46" t="str">
        <x:v>KES/kg</x:v>
      </x:c>
      <x:c r="I89" s="46" t="str">
        <x:v>retail / market</x:v>
      </x:c>
      <x:c r="J89" s="46" t="str">
        <x:v>2026-09-14</x:v>
      </x:c>
      <x:c r="K89" s="46" t="str">
        <x:v>MkulimaHub (secondary)</x:v>
      </x:c>
      <x:c r="L89" s="67" t="str">
        <x:v>https://mkulimahub.org/market-prices</x:v>
      </x:c>
      <x:c r="M89" s="46" t="str"/>
      <x:c r="N89" s="46" t="str">
        <x:v>No</x:v>
      </x:c>
      <x:c r="O89" s="46" t="str">
        <x:v>Current secondary page</x:v>
      </x:c>
      <x:c r="P89" s="46" t="str">
        <x:v>Secondary source; useful cross-check, not primary government data.</x:v>
      </x:c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64" t="str">
        <x:v>Kenya fruit farmers</x:v>
      </x:c>
      <x:c r="B90" s="64" t="str">
        <x:v>Kenya</x:v>
      </x:c>
      <x:c r="C90" s="64" t="str">
        <x:v>Kongowea Mombasa, Mombasa</x:v>
      </x:c>
      <x:c r="D90" s="64" t="str">
        <x:v>Mango (Apple)</x:v>
      </x:c>
      <x:c r="E90" s="64" t="str"/>
      <x:c r="F90" s="70" t="n">
        <x:v>15</x:v>
      </x:c>
      <x:c r="G90" s="64" t="str">
        <x:v>KES</x:v>
      </x:c>
      <x:c r="H90" s="64" t="str">
        <x:v>KES/piece</x:v>
      </x:c>
      <x:c r="I90" s="64" t="str">
        <x:v>retail / market</x:v>
      </x:c>
      <x:c r="J90" s="64" t="str">
        <x:v>2026-09-14</x:v>
      </x:c>
      <x:c r="K90" s="64" t="str">
        <x:v>MkulimaHub (secondary)</x:v>
      </x:c>
      <x:c r="L90" s="66" t="str">
        <x:v>https://mkulimahub.org/market-prices</x:v>
      </x:c>
      <x:c r="M90" s="64" t="str"/>
      <x:c r="N90" s="64" t="str">
        <x:v>No</x:v>
      </x:c>
      <x:c r="O90" s="64" t="str">
        <x:v>Current secondary page</x:v>
      </x:c>
      <x:c r="P90" s="64" t="str">
        <x:v>Secondary source; useful cross-check, not primary government data.</x:v>
      </x:c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6" t="str">
        <x:v>Kenya fruit farmers</x:v>
      </x:c>
      <x:c r="B91" s="46" t="str">
        <x:v>Kenya</x:v>
      </x:c>
      <x:c r="C91" s="46" t="str">
        <x:v>Kongowea Mombasa, Mombasa</x:v>
      </x:c>
      <x:c r="D91" s="46" t="str">
        <x:v>Watermelon</x:v>
      </x:c>
      <x:c r="E91" s="46" t="str"/>
      <x:c r="F91" s="71" t="n">
        <x:v>20</x:v>
      </x:c>
      <x:c r="G91" s="46" t="str">
        <x:v>KES</x:v>
      </x:c>
      <x:c r="H91" s="46" t="str">
        <x:v>KES/kg</x:v>
      </x:c>
      <x:c r="I91" s="46" t="str">
        <x:v>retail / market</x:v>
      </x:c>
      <x:c r="J91" s="46" t="str">
        <x:v>2026-09-14</x:v>
      </x:c>
      <x:c r="K91" s="46" t="str">
        <x:v>MkulimaHub (secondary)</x:v>
      </x:c>
      <x:c r="L91" s="67" t="str">
        <x:v>https://mkulimahub.org/market-prices</x:v>
      </x:c>
      <x:c r="M91" s="46" t="str"/>
      <x:c r="N91" s="46" t="str">
        <x:v>No</x:v>
      </x:c>
      <x:c r="O91" s="46" t="str">
        <x:v>Current secondary page</x:v>
      </x:c>
      <x:c r="P91" s="46" t="str">
        <x:v>Secondary source; useful cross-check, not primary government data.</x:v>
      </x:c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64" t="str">
        <x:v>Nigeria farmers</x:v>
      </x:c>
      <x:c r="B92" s="64" t="str">
        <x:v>Nigeria</x:v>
      </x:c>
      <x:c r="C92" s="64" t="str">
        <x:v>Nigeria / national or exchange reference</x:v>
      </x:c>
      <x:c r="D92" s="64" t="str">
        <x:v>Cocoyam</x:v>
      </x:c>
      <x:c r="E92" s="64" t="str"/>
      <x:c r="F92" s="70" t="n">
        <x:v>224</x:v>
      </x:c>
      <x:c r="G92" s="64" t="str">
        <x:v>NGN</x:v>
      </x:c>
      <x:c r="H92" s="64" t="str">
        <x:v>NGN/kg</x:v>
      </x:c>
      <x:c r="I92" s="64" t="str">
        <x:v>Export unit value</x:v>
      </x:c>
      <x:c r="J92" s="64" t="str"/>
      <x:c r="K92" s="64" t="str">
        <x:v>Selina Wamucii / UN Comtrade</x:v>
      </x:c>
      <x:c r="L92" s="66" t="str">
        <x:v>https://www.selinawamucii.com/insights/prices/nigeria/cocoyam/</x:v>
      </x:c>
      <x:c r="M92" s="64" t="str">
        <x:v>2024/Jan 2024 basis</x:v>
      </x:c>
      <x:c r="N92" s="64" t="str">
        <x:v>No</x:v>
      </x:c>
      <x:c r="O92" s="64" t="str">
        <x:v>Current web page but basis differs by source</x:v>
      </x:c>
      <x:c r="P92" s="64" t="str">
        <x:v>Supplementary only. Cocoyam value is UN Comtrade export unit value, not farmgate/market price; sesame page attributes spot to AFEX but AFEX direct API remains keyed.</x:v>
      </x:c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6" t="str">
        <x:v>Nigeria farmers</x:v>
      </x:c>
      <x:c r="B93" s="46" t="str">
        <x:v>Nigeria</x:v>
      </x:c>
      <x:c r="C93" s="46" t="str">
        <x:v>Nigeria / national or exchange reference</x:v>
      </x:c>
      <x:c r="D93" s="46" t="str">
        <x:v>Sesame</x:v>
      </x:c>
      <x:c r="E93" s="46" t="str"/>
      <x:c r="F93" s="71" t="n">
        <x:v>2300</x:v>
      </x:c>
      <x:c r="G93" s="46" t="str">
        <x:v>NGN</x:v>
      </x:c>
      <x:c r="H93" s="46" t="str">
        <x:v>NGN/kg</x:v>
      </x:c>
      <x:c r="I93" s="46" t="str">
        <x:v>Exchange spot</x:v>
      </x:c>
      <x:c r="J93" s="46" t="str">
        <x:v>2026-09-18</x:v>
      </x:c>
      <x:c r="K93" s="46" t="str">
        <x:v>Mansa Markets / AFEX</x:v>
      </x:c>
      <x:c r="L93" s="67" t="str">
        <x:v>https://www.mansamarkets.com/commodities/sesame/nigeria</x:v>
      </x:c>
      <x:c r="M93" s="46" t="str">
        <x:v>2026-09-18</x:v>
      </x:c>
      <x:c r="N93" s="46" t="str">
        <x:v>No</x:v>
      </x:c>
      <x:c r="O93" s="46" t="str">
        <x:v>Current web page but basis differs by source</x:v>
      </x:c>
      <x:c r="P93" s="46" t="str">
        <x:v>Supplementary only. Cocoyam value is UN Comtrade export unit value, not farmgate/market price; sesame page attributes spot to AFEX but AFEX direct API remains keyed.</x:v>
      </x:c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64" t="str">
        <x:v>Cross-country / benchmark</x:v>
      </x:c>
      <x:c r="B94" s="64" t="str">
        <x:v>Ethiopia (secondary)</x:v>
      </x:c>
      <x:c r="C94" s="64" t="str">
        <x:v>Addis Ababa / Dire Dawa</x:v>
      </x:c>
      <x:c r="D94" s="64" t="str">
        <x:v>Cocoa butter</x:v>
      </x:c>
      <x:c r="E94" s="64" t="str"/>
      <x:c r="F94" s="70" t="n">
        <x:v>3.37</x:v>
      </x:c>
      <x:c r="G94" s="64" t="str">
        <x:v>USD</x:v>
      </x:c>
      <x:c r="H94" s="64" t="str">
        <x:v>USD/kg (retail lower bound)</x:v>
      </x:c>
      <x:c r="I94" s="64" t="str">
        <x:v>retail range</x:v>
      </x:c>
      <x:c r="J94" s="64" t="str">
        <x:v>2026-09</x:v>
      </x:c>
      <x:c r="K94" s="64" t="str">
        <x:v>Selina Wamucii (secondary)</x:v>
      </x:c>
      <x:c r="L94" s="66" t="str">
        <x:v>https://www.selinawamucii.com/insights/prices/ethiopia/cocoa-butter/</x:v>
      </x:c>
      <x:c r="M94" s="64" t="str">
        <x:v>Retail range US$3.37–6.26/kg; wholesale range US$2.36–4.38/kg</x:v>
      </x:c>
      <x:c r="N94" s="64" t="str">
        <x:v>No</x:v>
      </x:c>
      <x:c r="O94" s="64" t="str">
        <x:v>September 2026 page</x:v>
      </x:c>
      <x:c r="P94" s="64" t="str">
        <x:v>Supplementary secondary price range; not a global traded benchmark and not partner-country specific.</x:v>
      </x:c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conditionalFormatting sqref="N2:N94">
    <x:cfRule type="expression" dxfId="6" priority="1">
      <x:formula>N2="Yes"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3a75ed0af145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18" hidden="0" customWidth="1"/>
    <x:col min="4" max="4" width="34" hidden="0" customWidth="1"/>
    <x:col min="5" max="5" width="32" hidden="0" customWidth="1"/>
    <x:col min="6" max="6" width="48" hidden="0" customWidth="1"/>
    <x:col min="7" max="7" width="50" hidden="0" customWidth="1"/>
    <x:col min="8" max="8" width="60" hidden="0" customWidth="1"/>
  </x:cols>
  <x:sheetData>
    <x:row r="1" ht="28" customHeight="1">
      <x:c r="A1" s="74" t="str">
        <x:v>#</x:v>
      </x:c>
      <x:c r="B1" s="74" t="str">
        <x:v>Group</x:v>
      </x:c>
      <x:c r="C1" s="74" t="str">
        <x:v>Country</x:v>
      </x:c>
      <x:c r="D1" s="74" t="str">
        <x:v>Geography</x:v>
      </x:c>
      <x:c r="E1" s="74" t="str">
        <x:v>Data need</x:v>
      </x:c>
      <x:c r="F1" s="74" t="str">
        <x:v>What to collect</x:v>
      </x:c>
      <x:c r="G1" s="74" t="str">
        <x:v>What we have now</x:v>
      </x:c>
      <x:c r="H1" s="74" t="str">
        <x:v>Gap / remark</x:v>
      </x:c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64" t="str">
        <x:v>1</x:v>
      </x:c>
      <x:c r="B2" s="64" t="str">
        <x:v>Vegetable farmers</x:v>
      </x:c>
      <x:c r="C2" s="64" t="str">
        <x:v>South Africa</x:v>
      </x:c>
      <x:c r="D2" s="64" t="str">
        <x:v>KwaZulu-Natal</x:v>
      </x:c>
      <x:c r="E2" s="64" t="str">
        <x:v>Vegetable market/producer prices</x:v>
      </x:c>
      <x:c r="F2" s="64" t="str">
        <x:v>Prioritise local fresh-produce market rows; preserve package/grade/weight.</x:v>
      </x:c>
      <x:c r="G2" s="64" t="str">
        <x:v>Durban Markets provides current KZN/NATAL price rows.</x:v>
      </x:c>
      <x:c r="H2" s="64" t="str">
        <x:v>Need broader farmer/producer-series validation beyond market averages.</x:v>
      </x:c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6" t="str">
        <x:v>2</x:v>
      </x:c>
      <x:c r="B3" s="46" t="str">
        <x:v>Vegetable traders</x:v>
      </x:c>
      <x:c r="C3" s="46" t="str">
        <x:v>South Africa</x:v>
      </x:c>
      <x:c r="D3" s="46" t="str">
        <x:v>Gauteng</x:v>
      </x:c>
      <x:c r="E3" s="46" t="str">
        <x:v>Wholesale/market trading prices</x:v>
      </x:c>
      <x:c r="F3" s="46" t="str">
        <x:v>Prioritise Gauteng market price/activity data.</x:v>
      </x:c>
      <x:c r="G3" s="46" t="str">
        <x:v>Joburg Market provides daily market activity; Tshwane is an additional official source.</x:v>
      </x:c>
      <x:c r="H3" s="46" t="str">
        <x:v>Joburg page exposes totals rather than a single clean grade-normalized price/kg.</x:v>
      </x:c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64" t="str">
        <x:v>3</x:v>
      </x:c>
      <x:c r="B4" s="64" t="str">
        <x:v>Farmers</x:v>
      </x:c>
      <x:c r="C4" s="64" t="str">
        <x:v>Nigeria</x:v>
      </x:c>
      <x:c r="D4" s="64" t="str">
        <x:v>Abuja / Edo / Benue / Delta (partner focus)</x:v>
      </x:c>
      <x:c r="E4" s="64" t="str">
        <x:v>Physical food prices</x:v>
      </x:c>
      <x:c r="F4" s="64" t="str">
        <x:v>Prioritise market prices with market/state fields; add official NBS / World Bank context.</x:v>
      </x:c>
      <x:c r="G4" s="64" t="str">
        <x:v>WFP/HDX Nigeria is directly extractable; World Bank RTPF and HFCP are valuable but gated for microdata.</x:v>
      </x:c>
      <x:c r="H4" s="64" t="str">
        <x:v>Current WFP pull proves Nigeria coverage, but partner-state coverage should be filtered/validated before claiming complete geographic coverage.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6" t="str">
        <x:v>4</x:v>
      </x:c>
      <x:c r="B5" s="46" t="str">
        <x:v>Fruit farmers</x:v>
      </x:c>
      <x:c r="C5" s="46" t="str">
        <x:v>Kenya</x:v>
      </x:c>
      <x:c r="D5" s="46" t="str">
        <x:v>Kenya counties/markets</x:v>
      </x:c>
      <x:c r="E5" s="46" t="str">
        <x:v>Fruit market + export price context</x:v>
      </x:c>
      <x:c r="F5" s="46" t="str">
        <x:v>Prioritise banana and avocado, plus other export fruits.</x:v>
      </x:c>
      <x:c r="G5" s="46" t="str">
        <x:v>KAMIS offers county/market wholesale and retail rows and Excel export; MkulimaHub is secondary cross-check.</x:v>
      </x:c>
      <x:c r="H5" s="46" t="str">
        <x:v>Need crop-specific export/producer prices for avocado/banana beyond market prices.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1"/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  <x:tableParts count="1">
    <x:tablePart xmlns:r="http://schemas.openxmlformats.org/officeDocument/2006/relationships" r:id="Rdd95f64ba4bb4e3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8" hidden="0" customWidth="1"/>
    <x:col min="4" max="4" width="20" hidden="0" customWidth="1"/>
    <x:col min="5" max="5" width="42" hidden="0" customWidth="1"/>
    <x:col min="6" max="6" width="26" hidden="0" customWidth="1"/>
    <x:col min="7" max="7" width="72" hidden="0" customWidth="1"/>
  </x:cols>
  <x:sheetData>
    <x:row r="1" ht="28" customHeight="1">
      <x:c r="A1" s="74" t="str">
        <x:v>Commodity</x:v>
      </x:c>
      <x:c r="B1" s="74" t="str">
        <x:v>Type</x:v>
      </x:c>
      <x:c r="C1" s="74" t="str">
        <x:v>Planned source</x:v>
      </x:c>
      <x:c r="D1" s="74" t="str">
        <x:v>Update freq</x:v>
      </x:c>
      <x:c r="E1" s="74" t="str">
        <x:v>BigQuery method</x:v>
      </x:c>
      <x:c r="F1" s="74" t="str">
        <x:v>Actual sample status</x:v>
      </x:c>
      <x:c r="G1" s="74" t="str">
        <x:v>Evidence / gap</x:v>
      </x:c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64" t="str">
        <x:v>Yam</x:v>
      </x:c>
      <x:c r="B2" s="64" t="str">
        <x:v>Tuber (staple)</x:v>
      </x:c>
      <x:c r="C2" s="64" t="str">
        <x:v>World Bank HFCP (daily crowdsourced) / WFP DataBridges</x:v>
      </x:c>
      <x:c r="D2" s="64" t="str">
        <x:v>Daily / monthly</x:v>
      </x:c>
      <x:c r="E2" s="64" t="str">
        <x:v>Scheduler -&gt; load job (reference table)</x:v>
      </x:c>
      <x:c r="F2" s="64" t="str">
        <x:v>Sample found</x:v>
      </x:c>
      <x:c r="G2" s="64" t="str">
        <x:v>2 sample row(s); sources: WFP / HDX Nigeria, Selina Wamucii / UN Comtrade</x:v>
      </x:c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6" t="str">
        <x:v>Cassava</x:v>
      </x:c>
      <x:c r="B3" s="46" t="str">
        <x:v>Root (staple)</x:v>
      </x:c>
      <x:c r="C3" s="46" t="str">
        <x:v>FAO / WFP DataBridges / World Bank monthly</x:v>
      </x:c>
      <x:c r="D3" s="46" t="str">
        <x:v>Monthly</x:v>
      </x:c>
      <x:c r="E3" s="46" t="str">
        <x:v>Scheduler -&gt; load job</x:v>
      </x:c>
      <x:c r="F3" s="46" t="str">
        <x:v>Sample found — stale/secondary</x:v>
      </x:c>
      <x:c r="G3" s="46" t="str">
        <x:v>3 sample row(s); sources: WFP / HDX Nigeria, Joburg Market</x:v>
      </x:c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64" t="str">
        <x:v>Garri (cassava)</x:v>
      </x:c>
      <x:c r="B4" s="64" t="str">
        <x:v>By-product of cassava</x:v>
      </x:c>
      <x:c r="C4" s="64" t="str">
        <x:v>World Bank HFCP (daily crowdsourced)</x:v>
      </x:c>
      <x:c r="D4" s="64" t="str">
        <x:v>Daily</x:v>
      </x:c>
      <x:c r="E4" s="64" t="str">
        <x:v>Scheduler -&gt; load job</x:v>
      </x:c>
      <x:c r="F4" s="64" t="str">
        <x:v>Sample found — stale/secondary</x:v>
      </x:c>
      <x:c r="G4" s="64" t="str">
        <x:v>3 sample row(s); sources: WFP / HDX Nigeria, Joburg Market</x:v>
      </x:c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6" t="str">
        <x:v>Plantain / Banana</x:v>
      </x:c>
      <x:c r="B5" s="46" t="str">
        <x:v>Fruit (staple)</x:v>
      </x:c>
      <x:c r="C5" s="46" t="str">
        <x:v>FAO / Africa Food Prices Portal</x:v>
      </x:c>
      <x:c r="D5" s="46" t="str">
        <x:v>Weekly / monthly</x:v>
      </x:c>
      <x:c r="E5" s="46" t="str">
        <x:v>Weekly export -&gt; GCS -&gt; BigQuery</x:v>
      </x:c>
      <x:c r="F5" s="46" t="str">
        <x:v>Sample found</x:v>
      </x:c>
      <x:c r="G5" s="46" t="str">
        <x:v>7 sample row(s); sources: World Bank Pink Sheet, WFP / HDX Nigeria, KAMIS, MkulimaHub (secondary)</x:v>
      </x:c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64" t="str">
        <x:v>Cocoyam</x:v>
      </x:c>
      <x:c r="B6" s="64" t="str">
        <x:v>Tuber (staple)</x:v>
      </x:c>
      <x:c r="C6" s="64" t="str">
        <x:v>Africa Food Prices Portal / FAO</x:v>
      </x:c>
      <x:c r="D6" s="64" t="str">
        <x:v>Weekly</x:v>
      </x:c>
      <x:c r="E6" s="64" t="str">
        <x:v>Weekly export -&gt; GCS -&gt; BigQuery</x:v>
      </x:c>
      <x:c r="F6" s="64" t="str">
        <x:v>Sample found</x:v>
      </x:c>
      <x:c r="G6" s="64" t="str">
        <x:v>2 sample row(s); sources: WFP / HDX Nigeria, Selina Wamucii / UN Comtrade</x:v>
      </x:c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6" t="str">
        <x:v>Cowpea / Beans</x:v>
      </x:c>
      <x:c r="B7" s="46" t="str">
        <x:v>Legume (staple)</x:v>
      </x:c>
      <x:c r="C7" s="46" t="str">
        <x:v>World Bank HFCP / WFP DataBridges</x:v>
      </x:c>
      <x:c r="D7" s="46" t="str">
        <x:v>Daily / monthly</x:v>
      </x:c>
      <x:c r="E7" s="46" t="str">
        <x:v>Scheduler -&gt; load job</x:v>
      </x:c>
      <x:c r="F7" s="46" t="str">
        <x:v>Sample found</x:v>
      </x:c>
      <x:c r="G7" s="46" t="str">
        <x:v>4 sample row(s); sources: WFP / HDX Nigeria, Joburg Market</x:v>
      </x:c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64" t="str">
        <x:v>Local / imported rice</x:v>
      </x:c>
      <x:c r="B8" s="64" t="str">
        <x:v>Grain (staple)</x:v>
      </x:c>
      <x:c r="C8" s="64" t="str">
        <x:v>World Bank HFCP (daily) + global futures benchmark</x:v>
      </x:c>
      <x:c r="D8" s="64" t="str">
        <x:v>Daily</x:v>
      </x:c>
      <x:c r="E8" s="64" t="str">
        <x:v>Scheduler -&gt; load job</x:v>
      </x:c>
      <x:c r="F8" s="64" t="str">
        <x:v>Sample found</x:v>
      </x:c>
      <x:c r="G8" s="64" t="str">
        <x:v>4 sample row(s); sources: WFP / HDX Nigeria, KAMIS</x:v>
      </x:c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6" t="str">
        <x:v>Cocoa</x:v>
      </x:c>
      <x:c r="B9" s="46" t="str">
        <x:v>Cash crop (tradeable)</x:v>
      </x:c>
      <x:c r="C9" s="46" t="str">
        <x:v>API-Ninjas / Commodities-API (live futures)</x:v>
      </x:c>
      <x:c r="D9" s="46" t="str">
        <x:v>Live</x:v>
      </x:c>
      <x:c r="E9" s="46" t="str">
        <x:v>Cloud Function -&gt; insert_rows_json</x:v>
      </x:c>
      <x:c r="F9" s="46" t="str">
        <x:v>Sample found</x:v>
      </x:c>
      <x:c r="G9" s="46" t="str">
        <x:v>3 sample row(s); sources: Yahoo Finance futures, World Bank Pink Sheet, Selina Wamucii (secondary)</x:v>
      </x:c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64" t="str">
        <x:v>Coffee</x:v>
      </x:c>
      <x:c r="B10" s="64" t="str">
        <x:v>Cash crop (tradeable)</x:v>
      </x:c>
      <x:c r="C10" s="64" t="str">
        <x:v>API-Ninjas / Commodities-API</x:v>
      </x:c>
      <x:c r="D10" s="64" t="str">
        <x:v>Live</x:v>
      </x:c>
      <x:c r="E10" s="64" t="str">
        <x:v>Cloud Function -&gt; insert_rows_json</x:v>
      </x:c>
      <x:c r="F10" s="64" t="str">
        <x:v>Sample found</x:v>
      </x:c>
      <x:c r="G10" s="64" t="str">
        <x:v>3 sample row(s); sources: Yahoo Finance futures, World Bank Pink Sheet</x:v>
      </x:c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6" t="str">
        <x:v>Cotton</x:v>
      </x:c>
      <x:c r="B11" s="46" t="str">
        <x:v>Cash crop (tradeable)</x:v>
      </x:c>
      <x:c r="C11" s="46" t="str">
        <x:v>API-Ninjas / Commodities-API</x:v>
      </x:c>
      <x:c r="D11" s="46" t="str">
        <x:v>Live</x:v>
      </x:c>
      <x:c r="E11" s="46" t="str">
        <x:v>Cloud Function -&gt; insert_rows_json</x:v>
      </x:c>
      <x:c r="F11" s="46" t="str">
        <x:v>Sample found</x:v>
      </x:c>
      <x:c r="G11" s="46" t="str">
        <x:v>2 sample row(s); sources: Yahoo Finance futures, World Bank Pink Sheet</x:v>
      </x:c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64" t="str">
        <x:v>Maize / Corn</x:v>
      </x:c>
      <x:c r="B12" s="64" t="str">
        <x:v>Grain (tradeable)</x:v>
      </x:c>
      <x:c r="C12" s="64" t="str">
        <x:v>API-Ninjas / Commodities-API + AFEX (physical)</x:v>
      </x:c>
      <x:c r="D12" s="64" t="str">
        <x:v>Live</x:v>
      </x:c>
      <x:c r="E12" s="64" t="str">
        <x:v>Cloud Function -&gt; insert_rows_json</x:v>
      </x:c>
      <x:c r="F12" s="64" t="str">
        <x:v>Sample found</x:v>
      </x:c>
      <x:c r="G12" s="64" t="str">
        <x:v>6 sample row(s); sources: Yahoo Finance futures, World Bank Pink Sheet, WFP / HDX Nigeria</x:v>
      </x:c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6" t="str">
        <x:v>Soybean</x:v>
      </x:c>
      <x:c r="B13" s="46" t="str">
        <x:v>Legume (tradeable)</x:v>
      </x:c>
      <x:c r="C13" s="46" t="str">
        <x:v>API-Ninjas / Commodities-API + AFEX</x:v>
      </x:c>
      <x:c r="D13" s="46" t="str">
        <x:v>Live</x:v>
      </x:c>
      <x:c r="E13" s="46" t="str">
        <x:v>Cloud Function -&gt; insert_rows_json</x:v>
      </x:c>
      <x:c r="F13" s="46" t="str">
        <x:v>Sample found</x:v>
      </x:c>
      <x:c r="G13" s="46" t="str">
        <x:v>6 sample row(s); sources: Yahoo Finance futures, World Bank Pink Sheet</x:v>
      </x:c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64" t="str">
        <x:v>Sorghum</x:v>
      </x:c>
      <x:c r="B14" s="64" t="str">
        <x:v>Grain (tradeable)</x:v>
      </x:c>
      <x:c r="C14" s="64" t="str">
        <x:v>AFEX (physical) + World Bank HFCP (daily)</x:v>
      </x:c>
      <x:c r="D14" s="64" t="str">
        <x:v>Exchange / daily</x:v>
      </x:c>
      <x:c r="E14" s="64" t="str">
        <x:v>Cloud Function -&gt; BigQuery</x:v>
      </x:c>
      <x:c r="F14" s="64" t="str">
        <x:v>Sample found</x:v>
      </x:c>
      <x:c r="G14" s="64" t="str">
        <x:v>1 sample row(s); sources: WFP / HDX Nigeria</x:v>
      </x:c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6" t="str">
        <x:v>Sesame</x:v>
      </x:c>
      <x:c r="B15" s="46" t="str">
        <x:v>Oilseed (tradeable)</x:v>
      </x:c>
      <x:c r="C15" s="46" t="str">
        <x:v>AFEX (physical exchange)</x:v>
      </x:c>
      <x:c r="D15" s="46" t="str">
        <x:v>Exchange sessions</x:v>
      </x:c>
      <x:c r="E15" s="46" t="str">
        <x:v>Cloud Function -&gt; BigQuery</x:v>
      </x:c>
      <x:c r="F15" s="46" t="str">
        <x:v>Sample found</x:v>
      </x:c>
      <x:c r="G15" s="46" t="str">
        <x:v>1 sample row(s); sources: Mansa Markets / AFEX</x:v>
      </x:c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64" t="str">
        <x:v>Sugar</x:v>
      </x:c>
      <x:c r="B16" s="64" t="str">
        <x:v>Cash crop (tradeable)</x:v>
      </x:c>
      <x:c r="C16" s="64" t="str">
        <x:v>Commodities-API / Tradefeeds</x:v>
      </x:c>
      <x:c r="D16" s="64" t="str">
        <x:v>Live</x:v>
      </x:c>
      <x:c r="E16" s="64" t="str">
        <x:v>Cloud Function -&gt; insert_rows_json</x:v>
      </x:c>
      <x:c r="F16" s="64" t="str">
        <x:v>Sample found</x:v>
      </x:c>
      <x:c r="G16" s="64" t="str">
        <x:v>3 sample row(s); sources: Yahoo Finance futures, World Bank Pink Sheet, WFP / HDX Nigeria</x:v>
      </x:c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6" t="str">
        <x:v>Wheat</x:v>
      </x:c>
      <x:c r="B17" s="46" t="str">
        <x:v>Grain (tradeable)</x:v>
      </x:c>
      <x:c r="C17" s="46" t="str">
        <x:v>API-Ninjas / Commodities-API</x:v>
      </x:c>
      <x:c r="D17" s="46" t="str">
        <x:v>Live</x:v>
      </x:c>
      <x:c r="E17" s="46" t="str">
        <x:v>Cloud Function -&gt; insert_rows_json</x:v>
      </x:c>
      <x:c r="F17" s="46" t="str">
        <x:v>Sample found</x:v>
      </x:c>
      <x:c r="G17" s="46" t="str">
        <x:v>4 sample row(s); sources: Yahoo Finance futures, World Bank Pink Sheet, WFP / HDX Nigeria</x:v>
      </x:c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64" t="str">
        <x:v>Palm oil</x:v>
      </x:c>
      <x:c r="B18" s="64" t="str">
        <x:v>By-product (oil)</x:v>
      </x:c>
      <x:c r="C18" s="64" t="str">
        <x:v>Commodities-API / Tradefeeds</x:v>
      </x:c>
      <x:c r="D18" s="64" t="str">
        <x:v>Live</x:v>
      </x:c>
      <x:c r="E18" s="64" t="str">
        <x:v>Cloud Function -&gt; insert_rows_json</x:v>
      </x:c>
      <x:c r="F18" s="64" t="str">
        <x:v>Sample found</x:v>
      </x:c>
      <x:c r="G18" s="64" t="str">
        <x:v>2 sample row(s); sources: World Bank Pink Sheet, WFP / HDX Nigeria</x:v>
      </x:c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6" t="str">
        <x:v>Sunflower oil</x:v>
      </x:c>
      <x:c r="B19" s="46" t="str">
        <x:v>By-product (oil)</x:v>
      </x:c>
      <x:c r="C19" s="46" t="str">
        <x:v>Commodities-API / Tradefeeds</x:v>
      </x:c>
      <x:c r="D19" s="46" t="str">
        <x:v>Live</x:v>
      </x:c>
      <x:c r="E19" s="46" t="str">
        <x:v>Cloud Function -&gt; insert_rows_json</x:v>
      </x:c>
      <x:c r="F19" s="46" t="str">
        <x:v>Sample found</x:v>
      </x:c>
      <x:c r="G19" s="46" t="str">
        <x:v>1 sample row(s); sources: World Bank Pink Sheet</x:v>
      </x:c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64" t="str">
        <x:v>Rapeseed / canola oil</x:v>
      </x:c>
      <x:c r="B20" s="64" t="str">
        <x:v>By-product (oil)</x:v>
      </x:c>
      <x:c r="C20" s="64" t="str">
        <x:v>Commodities-API / Tradefeeds</x:v>
      </x:c>
      <x:c r="D20" s="64" t="str">
        <x:v>Live</x:v>
      </x:c>
      <x:c r="E20" s="64" t="str">
        <x:v>Cloud Function -&gt; insert_rows_json</x:v>
      </x:c>
      <x:c r="F20" s="64" t="str">
        <x:v>Sample found</x:v>
      </x:c>
      <x:c r="G20" s="64" t="str">
        <x:v>1 sample row(s); sources: World Bank Pink Sheet</x:v>
      </x:c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6" t="str">
        <x:v>Soybean meal</x:v>
      </x:c>
      <x:c r="B21" s="46" t="str">
        <x:v>By-product (feed)</x:v>
      </x:c>
      <x:c r="C21" s="46" t="str">
        <x:v>Commodities-API / Twelve Data</x:v>
      </x:c>
      <x:c r="D21" s="46" t="str">
        <x:v>Live</x:v>
      </x:c>
      <x:c r="E21" s="46" t="str">
        <x:v>Cloud Function -&gt; insert_rows_json</x:v>
      </x:c>
      <x:c r="F21" s="46" t="str">
        <x:v>Sample found</x:v>
      </x:c>
      <x:c r="G21" s="46" t="str">
        <x:v>4 sample row(s); sources: Yahoo Finance futures, World Bank Pink Sheet</x:v>
      </x:c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64" t="str">
        <x:v>Cocoa butter</x:v>
      </x:c>
      <x:c r="B22" s="64" t="str">
        <x:v>By-product (cocoa)</x:v>
      </x:c>
      <x:c r="C22" s="64" t="str">
        <x:v>Commodities-API / Tradefeeds</x:v>
      </x:c>
      <x:c r="D22" s="64" t="str">
        <x:v>Live</x:v>
      </x:c>
      <x:c r="E22" s="64" t="str">
        <x:v>Cloud Function -&gt; insert_rows_json</x:v>
      </x:c>
      <x:c r="F22" s="64" t="str">
        <x:v>Sample found</x:v>
      </x:c>
      <x:c r="G22" s="64" t="str">
        <x:v>3 sample row(s); sources: Yahoo Finance futures, World Bank Pink Sheet, Selina Wamucii (secondary)</x:v>
      </x:c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  <x:tableParts count="1">
    <x:tablePart xmlns:r="http://schemas.openxmlformats.org/officeDocument/2006/relationships" r:id="Ra951d644b4fc459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24" hidden="0" customWidth="1"/>
    <x:col min="4" max="4" width="46" hidden="0" customWidth="1"/>
    <x:col min="5" max="5" width="72" hidden="0" customWidth="1"/>
  </x:cols>
  <x:sheetData>
    <x:row r="1" ht="28" customHeight="1">
      <x:c r="A1" s="74" t="str">
        <x:v>Source / file</x:v>
      </x:c>
      <x:c r="B1" s="74" t="str">
        <x:v>URL</x:v>
      </x:c>
      <x:c r="C1" s="74" t="str">
        <x:v>Format</x:v>
      </x:c>
      <x:c r="D1" s="74" t="str">
        <x:v>What we did</x:v>
      </x:c>
      <x:c r="E1" s="74" t="str">
        <x:v>Remark</x:v>
      </x:c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64" t="str">
        <x:v>WFP Nigeria CSV</x:v>
      </x:c>
      <x:c r="B2" s="66" t="str">
        <x:v>https://data.humdata.org/dataset/wfp-food-prices-for-nigeria</x:v>
      </x:c>
      <x:c r="C2" s="64" t="str">
        <x:v>CSV</x:v>
      </x:c>
      <x:c r="D2" s="64" t="str">
        <x:v>Previously downloaded and parsed by Soko Desk run</x:v>
      </x:c>
      <x:c r="E2" s="64" t="str">
        <x:v>~10.8 MB / ~88k rows in prior run; sample extracted here</x:v>
      </x:c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6" t="str">
        <x:v>World Bank Pink Sheet monthly XLSX</x:v>
      </x:c>
      <x:c r="B3" s="67" t="str">
        <x:v>https://thedocs.worldbank.org/en/doc/74e8be41ceb20fa0da750cda2f6b9e4e-0050012026/related/CMO-Historical-Data-Monthly.xlsx</x:v>
      </x:c>
      <x:c r="C3" s="46" t="str">
        <x:v>XLSX</x:v>
      </x:c>
      <x:c r="D3" s="46" t="str">
        <x:v>Parsed by prior Soko Desk run; direct binary link verified during research</x:v>
      </x:c>
      <x:c r="E3" s="46" t="str">
        <x:v>Sample rows included here; binary source URL retained because browser runtime could not save binary directly</x:v>
      </x:c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64" t="str">
        <x:v>Yahoo Finance futures</x:v>
      </x:c>
      <x:c r="B4" s="66" t="str">
        <x:v>https://finance.yahoo.com/</x:v>
      </x:c>
      <x:c r="C4" s="64" t="str">
        <x:v>API/chart JSON</x:v>
      </x:c>
      <x:c r="D4" s="64" t="str">
        <x:v>Parsed by prior Soko Desk run</x:v>
      </x:c>
      <x:c r="E4" s="64" t="str">
        <x:v>10 live futures samples included here</x:v>
      </x:c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6" t="str">
        <x:v>Durban Fresh Produce Market</x:v>
      </x:c>
      <x:c r="B5" s="67" t="str">
        <x:v>https://durbanmarkets.durban.gov.za/</x:v>
      </x:c>
      <x:c r="C5" s="46" t="str">
        <x:v>HTML table</x:v>
      </x:c>
      <x:c r="D5" s="46" t="str">
        <x:v>Extracted live table rows</x:v>
      </x:c>
      <x:c r="E5" s="46" t="str">
        <x:v>KZN/NATAL rows dated 30/Sep/2026</x:v>
      </x:c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64" t="str">
        <x:v>Joburg Market Daily Prices</x:v>
      </x:c>
      <x:c r="B6" s="66" t="str">
        <x:v>https://joburgmarket.co.za/jhb-market/dailyprices.php</x:v>
      </x:c>
      <x:c r="C6" s="64" t="str">
        <x:v>HTML table</x:v>
      </x:c>
      <x:c r="D6" s="64" t="str">
        <x:v>Extracted live table rows</x:v>
      </x:c>
      <x:c r="E6" s="64" t="str">
        <x:v>Page content dated 29/Aug/2026; raw totals retained</x:v>
      </x:c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6" t="str">
        <x:v>KAMIS market prices</x:v>
      </x:c>
      <x:c r="B7" s="67" t="str">
        <x:v>https://kamis.kilimo.go.ke/site/market</x:v>
      </x:c>
      <x:c r="C7" s="46" t="str">
        <x:v>HTML table / on-site export</x:v>
      </x:c>
      <x:c r="D7" s="46" t="str">
        <x:v>Extracted table rows; Export to Excel control observed</x:v>
      </x:c>
      <x:c r="E7" s="46" t="str">
        <x:v>Rows dated 22/Apr/2026</x:v>
      </x:c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64" t="str">
        <x:v>NBS Selected Food Price Watch</x:v>
      </x:c>
      <x:c r="B8" s="66" t="str">
        <x:v>https://microdata.nigerianstat.gov.ng/index.php/catalog/162/related-materials</x:v>
      </x:c>
      <x:c r="C8" s="64" t="str">
        <x:v>ZIP containing XLSX/PDF</x:v>
      </x:c>
      <x:c r="D8" s="64" t="str">
        <x:v>Download links verified; not saved by runtime</x:v>
      </x:c>
      <x:c r="E8" s="64" t="str">
        <x:v>Monthly ZIPs available including March-May 2026</x:v>
      </x:c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  <x:tableParts count="1">
    <x:tablePart xmlns:r="http://schemas.openxmlformats.org/officeDocument/2006/relationships" r:id="R3f26ed0a3d0b4659"/>
  </x:tableParts>
</x:worksheet>
</file>